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oons" sheetId="1" state="visible" r:id="rId1"/>
    <sheet name="Sheet6" sheetId="2" state="visible" r:id="rId2"/>
    <sheet name="Sheet7" sheetId="3" state="visible" r:id="rId3"/>
  </sheets>
  <definedNames>
    <definedName name="BenoemdBereik1">Moons!$B$666:$B$668</definedName>
  </definedNames>
  <calcPr calcId="124519" fullCalcOnLoad="1"/>
</workbook>
</file>

<file path=xl/styles.xml><?xml version="1.0" encoding="utf-8"?>
<styleSheet xmlns="http://schemas.openxmlformats.org/spreadsheetml/2006/main">
  <numFmts count="0"/>
  <fonts count="9">
    <font>
      <name val="Arial"/>
      <color rgb="FF000000"/>
      <sz val="10"/>
      <scheme val="minor"/>
    </font>
    <font>
      <name val="Fredoka One"/>
      <color theme="1"/>
    </font>
    <font>
      <name val="Fredoka One"/>
      <b val="1"/>
      <color theme="1"/>
    </font>
    <font>
      <name val="Raleway"/>
      <b val="1"/>
      <color theme="1"/>
    </font>
    <font/>
    <font>
      <name val="Arial"/>
      <color theme="1"/>
      <sz val="24"/>
      <scheme val="minor"/>
    </font>
    <font>
      <name val="Courier New"/>
      <color theme="1"/>
    </font>
    <font>
      <name val="Raleway"/>
      <color theme="1"/>
    </font>
    <font>
      <name val="&quot;Inter var&quot;"/>
      <color rgb="FFF6F8F7"/>
      <sz val="9"/>
    </font>
  </fonts>
  <fills count="9">
    <fill>
      <patternFill/>
    </fill>
    <fill>
      <patternFill patternType="lightGray"/>
    </fill>
    <fill>
      <patternFill patternType="solid">
        <fgColor theme="7"/>
        <bgColor theme="7"/>
      </patternFill>
    </fill>
    <fill>
      <patternFill patternType="solid">
        <fgColor rgb="FFB7B7B7"/>
        <bgColor rgb="FFB7B7B7"/>
      </patternFill>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202634"/>
        <bgColor rgb="FF202634"/>
      </patternFill>
    </fill>
    <fill>
      <patternFill patternType="solid">
        <fgColor rgb="FF8A9399"/>
        <bgColor rgb="FF8A9399"/>
      </patternFill>
    </fill>
  </fills>
  <borders count="11">
    <border/>
    <border>
      <right style="thick">
        <color rgb="FF000000"/>
      </right>
    </border>
    <border>
      <bottom style="thick">
        <color rgb="FF000000"/>
      </bottom>
    </border>
    <border>
      <right style="thick">
        <color rgb="FF000000"/>
      </right>
      <bottom style="thick">
        <color rgb="FF000000"/>
      </bottom>
    </border>
    <border>
      <bottom style="medium">
        <color rgb="FF000000"/>
      </bottom>
    </border>
    <border>
      <right style="thick">
        <color rgb="FF000000"/>
      </right>
      <bottom style="medium">
        <color rgb="FF000000"/>
      </bottom>
    </border>
    <border>
      <top style="thick">
        <color rgb="FF000000"/>
      </top>
    </border>
    <border>
      <right style="thick">
        <color rgb="FF000000"/>
      </right>
      <top style="thick">
        <color rgb="FF000000"/>
      </top>
    </border>
    <border>
      <left style="thin">
        <color rgb="FF8A9399"/>
      </left>
      <right style="thin">
        <color rgb="FF8A9399"/>
      </right>
      <top style="thin">
        <color rgb="FF8A9399"/>
      </top>
      <bottom style="thin">
        <color rgb="FF8A9399"/>
      </bottom>
    </border>
    <border>
      <top style="thick">
        <color rgb="FF000000"/>
      </top>
      <bottom style="medium">
        <color rgb="FF000000"/>
      </bottom>
    </border>
    <border>
      <right style="thick">
        <color rgb="FF000000"/>
      </right>
      <top style="thick">
        <color rgb="FF000000"/>
      </top>
      <bottom style="medium">
        <color rgb="FF000000"/>
      </bottom>
    </border>
  </borders>
  <cellStyleXfs count="1">
    <xf numFmtId="0" fontId="0" fillId="0" borderId="0"/>
  </cellStyleXfs>
  <cellXfs count="48">
    <xf numFmtId="0" fontId="0" fillId="0" borderId="0" applyAlignment="1" pivotButton="0" quotePrefix="0" xfId="0">
      <alignment vertical="bottom"/>
    </xf>
    <xf numFmtId="0" fontId="1" fillId="2" borderId="0" applyAlignment="1" pivotButton="0" quotePrefix="0" xfId="0">
      <alignment horizontal="center" vertical="center"/>
    </xf>
    <xf numFmtId="0" fontId="2" fillId="3" borderId="1" applyAlignment="1" pivotButton="0" quotePrefix="0" xfId="0">
      <alignment horizontal="center" vertical="center"/>
    </xf>
    <xf numFmtId="0" fontId="3" fillId="0" borderId="0" applyAlignment="1" pivotButton="0" quotePrefix="0" xfId="0">
      <alignment horizontal="center" vertical="center"/>
    </xf>
    <xf numFmtId="0" fontId="2" fillId="4" borderId="0" applyAlignment="1" pivotButton="0" quotePrefix="0" xfId="0">
      <alignment horizontal="center" vertical="center"/>
    </xf>
    <xf numFmtId="0" fontId="1" fillId="2" borderId="2" applyAlignment="1" pivotButton="0" quotePrefix="0" xfId="0">
      <alignment horizontal="center" vertical="center"/>
    </xf>
    <xf numFmtId="0" fontId="4" fillId="0" borderId="3" pivotButton="0" quotePrefix="0" xfId="0"/>
    <xf numFmtId="0" fontId="2" fillId="0" borderId="2" applyAlignment="1" pivotButton="0" quotePrefix="0" xfId="0">
      <alignment horizontal="center" vertical="center"/>
    </xf>
    <xf numFmtId="0" fontId="1" fillId="0" borderId="2" applyAlignment="1" pivotButton="0" quotePrefix="0" xfId="0">
      <alignment horizontal="center" vertical="center"/>
    </xf>
    <xf numFmtId="0" fontId="5" fillId="5" borderId="0" applyAlignment="1" pivotButton="0" quotePrefix="0" xfId="0">
      <alignment horizontal="center" vertical="center"/>
    </xf>
    <xf numFmtId="0" fontId="6" fillId="5" borderId="1" applyAlignment="1" pivotButton="0" quotePrefix="0" xfId="0">
      <alignment horizontal="center" vertical="center"/>
    </xf>
    <xf numFmtId="0" fontId="7" fillId="0" borderId="0" applyAlignment="1" pivotButton="0" quotePrefix="0" xfId="0">
      <alignment horizontal="center" vertical="center" wrapText="1"/>
    </xf>
    <xf numFmtId="0" fontId="1" fillId="0" borderId="0" applyAlignment="1" pivotButton="0" quotePrefix="0" xfId="0">
      <alignment horizontal="right" vertical="center" wrapText="1"/>
    </xf>
    <xf numFmtId="0" fontId="7" fillId="0" borderId="0" applyAlignment="1" pivotButton="0" quotePrefix="0" xfId="0">
      <alignment horizontal="center" vertical="center" wrapText="1"/>
    </xf>
    <xf numFmtId="0" fontId="1" fillId="6" borderId="0" applyAlignment="1" pivotButton="0" quotePrefix="0" xfId="0">
      <alignment horizontal="center" vertical="center" wrapText="1"/>
    </xf>
    <xf numFmtId="0" fontId="4" fillId="0" borderId="1" pivotButton="0" quotePrefix="0" xfId="0"/>
    <xf numFmtId="0" fontId="1" fillId="6" borderId="0" applyAlignment="1" pivotButton="0" quotePrefix="0" xfId="0">
      <alignment horizontal="center" vertical="center" wrapText="1"/>
    </xf>
    <xf numFmtId="0" fontId="4" fillId="0" borderId="4" pivotButton="0" quotePrefix="0" xfId="0"/>
    <xf numFmtId="0" fontId="4" fillId="0" borderId="5" pivotButton="0" quotePrefix="0" xfId="0"/>
    <xf numFmtId="0" fontId="1" fillId="0" borderId="4" applyAlignment="1" pivotButton="0" quotePrefix="0" xfId="0">
      <alignment horizontal="right" vertical="center" wrapText="1"/>
    </xf>
    <xf numFmtId="0" fontId="7" fillId="0" borderId="4" applyAlignment="1" pivotButton="0" quotePrefix="0" xfId="0">
      <alignment horizontal="center" vertical="center" wrapText="1"/>
    </xf>
    <xf numFmtId="0" fontId="6" fillId="5" borderId="1" applyAlignment="1" pivotButton="0" quotePrefix="0" xfId="0">
      <alignment horizontal="center" vertical="center"/>
    </xf>
    <xf numFmtId="0" fontId="7" fillId="0" borderId="4" applyAlignment="1" pivotButton="0" quotePrefix="0" xfId="0">
      <alignment horizontal="center" vertical="center" wrapText="1"/>
    </xf>
    <xf numFmtId="0" fontId="5" fillId="5" borderId="6" applyAlignment="1" pivotButton="0" quotePrefix="0" xfId="0">
      <alignment horizontal="center" vertical="center"/>
    </xf>
    <xf numFmtId="0" fontId="6" fillId="5" borderId="7" applyAlignment="1" pivotButton="0" quotePrefix="0" xfId="0">
      <alignment horizontal="center" vertical="center"/>
    </xf>
    <xf numFmtId="0" fontId="7" fillId="0" borderId="6" applyAlignment="1" pivotButton="0" quotePrefix="0" xfId="0">
      <alignment horizontal="center" vertical="center" wrapText="1"/>
    </xf>
    <xf numFmtId="0" fontId="1" fillId="0" borderId="6" applyAlignment="1" pivotButton="0" quotePrefix="0" xfId="0">
      <alignment horizontal="right" vertical="center" wrapText="1"/>
    </xf>
    <xf numFmtId="0" fontId="7" fillId="0" borderId="6" applyAlignment="1" pivotButton="0" quotePrefix="0" xfId="0">
      <alignment horizontal="center" vertical="center" wrapText="1"/>
    </xf>
    <xf numFmtId="0" fontId="7" fillId="4" borderId="0" applyAlignment="1" pivotButton="0" quotePrefix="0" xfId="0">
      <alignment horizontal="center" wrapText="1"/>
    </xf>
    <xf numFmtId="0" fontId="7" fillId="4" borderId="0" applyAlignment="1" pivotButton="0" quotePrefix="0" xfId="0">
      <alignment horizontal="center" wrapText="1"/>
    </xf>
    <xf numFmtId="0" fontId="7" fillId="4" borderId="4" applyAlignment="1" pivotButton="0" quotePrefix="0" xfId="0">
      <alignment horizontal="center" wrapText="1"/>
    </xf>
    <xf numFmtId="0" fontId="6" fillId="5" borderId="5" applyAlignment="1" pivotButton="0" quotePrefix="0" xfId="0">
      <alignment horizontal="center" vertical="center"/>
    </xf>
    <xf numFmtId="0" fontId="6" fillId="5" borderId="1" applyAlignment="1" pivotButton="0" quotePrefix="0" xfId="0">
      <alignment horizontal="center" vertical="center"/>
    </xf>
    <xf numFmtId="0" fontId="7"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 applyAlignment="1" pivotButton="0" quotePrefix="0" xfId="0">
      <alignment horizontal="center" vertical="center" wrapText="1"/>
    </xf>
    <xf numFmtId="0" fontId="8" fillId="7" borderId="8" pivotButton="0" quotePrefix="0" xfId="0"/>
    <xf numFmtId="0" fontId="8" fillId="8" borderId="8" pivotButton="0" quotePrefix="0" xfId="0"/>
    <xf numFmtId="0" fontId="0" fillId="0" borderId="0" pivotButton="0" quotePrefix="0" xfId="0"/>
    <xf numFmtId="0" fontId="2" fillId="3" borderId="3" applyAlignment="1" pivotButton="0" quotePrefix="0" xfId="0">
      <alignment horizontal="center" vertical="center"/>
    </xf>
    <xf numFmtId="0" fontId="0" fillId="0" borderId="3" pivotButton="0" quotePrefix="0" xfId="0"/>
    <xf numFmtId="0" fontId="5" fillId="5" borderId="4" applyAlignment="1" pivotButton="0" quotePrefix="0" xfId="0">
      <alignment horizontal="center" vertical="center"/>
    </xf>
    <xf numFmtId="0" fontId="0" fillId="0" borderId="1" pivotButton="0" quotePrefix="0" xfId="0"/>
    <xf numFmtId="0" fontId="0" fillId="0" borderId="4" pivotButton="0" quotePrefix="0" xfId="0"/>
    <xf numFmtId="0" fontId="0" fillId="0" borderId="5" pivotButton="0" quotePrefix="0" xfId="0"/>
    <xf numFmtId="0" fontId="5" fillId="5" borderId="9" applyAlignment="1" pivotButton="0" quotePrefix="0" xfId="0">
      <alignment horizontal="center" vertical="center"/>
    </xf>
    <xf numFmtId="0" fontId="6" fillId="5" borderId="10" applyAlignment="1" pivotButton="0" quotePrefix="0" xfId="0">
      <alignment horizontal="center" vertical="center"/>
    </xf>
    <xf numFmtId="0" fontId="7" fillId="0" borderId="9" applyAlignment="1" pivotButton="0" quotePrefix="0" xfId="0">
      <alignment horizontal="center" vertical="center" wrapText="1"/>
    </xf>
  </cellXfs>
  <cellStyles count="1">
    <cellStyle name="Normal" xfId="0" builtinId="0"/>
  </cellStyles>
  <dxfs count="1">
    <dxf>
      <font/>
      <fill>
        <patternFill patternType="solid">
          <fgColor rgb="FF6AA84F"/>
          <bgColor rgb="FF6AA84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J2330"/>
  <sheetViews>
    <sheetView workbookViewId="0">
      <pane xSplit="2" topLeftCell="C1" activePane="topRight" state="frozen"/>
      <selection pane="topRight" activeCell="D2" sqref="D2"/>
    </sheetView>
  </sheetViews>
  <sheetFormatPr baseColWidth="8" defaultColWidth="12.63" defaultRowHeight="15.75" customHeight="1"/>
  <cols>
    <col width="11.5" customWidth="1" style="38" min="1" max="1"/>
    <col width="53.38" customWidth="1" style="38" min="2" max="2"/>
    <col width="33.13" customWidth="1" style="38" min="3" max="3"/>
    <col width="19.5" customWidth="1" style="38" min="4" max="4"/>
    <col width="28.88" customWidth="1" style="38" min="5" max="10"/>
  </cols>
  <sheetData>
    <row r="1">
      <c r="A1" s="1" t="inlineStr">
        <is>
          <t>Moons Done</t>
        </is>
      </c>
      <c r="B1" s="39" t="inlineStr">
        <is>
          <t>Moon Names</t>
        </is>
      </c>
      <c r="C1" s="3" t="inlineStr">
        <is>
          <t>Abilities needed</t>
        </is>
      </c>
      <c r="J1" s="4" t="inlineStr">
        <is>
          <t>Moons Done (excl. Toadette)</t>
        </is>
      </c>
    </row>
    <row r="2">
      <c r="A2" s="5">
        <f>concat(countif(A3:A2330,TRUE)+61," / 836")</f>
        <v/>
      </c>
      <c r="B2" s="40" t="n"/>
      <c r="C2" s="7" t="inlineStr">
        <is>
          <t>Captures that work:</t>
        </is>
      </c>
      <c r="D2" s="8" t="n"/>
      <c r="E2" s="7" t="inlineStr">
        <is>
          <t>Method 1</t>
        </is>
      </c>
      <c r="F2" s="7" t="inlineStr">
        <is>
          <t>Method 2</t>
        </is>
      </c>
      <c r="G2" s="7" t="inlineStr">
        <is>
          <t>Method 3</t>
        </is>
      </c>
      <c r="H2" s="7" t="inlineStr">
        <is>
          <t>Method 4</t>
        </is>
      </c>
      <c r="I2" s="7" t="inlineStr">
        <is>
          <t>Method 5</t>
        </is>
      </c>
      <c r="J2" s="4">
        <f>concat(countif(A3:A2330,TRUE)+61," / 836")</f>
        <v/>
      </c>
    </row>
    <row r="3">
      <c r="A3" s="41" t="b">
        <v>1</v>
      </c>
      <c r="B3" s="31" t="inlineStr">
        <is>
          <t>Cap Kingdom: Frog-Jumping Above the Fog</t>
        </is>
      </c>
      <c r="C3" s="35" t="inlineStr">
        <is>
          <t>Frog</t>
        </is>
      </c>
      <c r="D3" s="12" t="inlineStr">
        <is>
          <t>Minimum Jump Height:</t>
        </is>
      </c>
      <c r="E3" s="34" t="inlineStr">
        <is>
          <t>No Jump Needed</t>
        </is>
      </c>
      <c r="F3" s="34" t="n"/>
      <c r="G3" s="34" t="n"/>
      <c r="H3" s="34" t="n"/>
      <c r="I3" s="34" t="n"/>
      <c r="J3" s="16" t="inlineStr">
        <is>
          <t>Cap Kingdom</t>
        </is>
      </c>
    </row>
    <row r="4">
      <c r="B4" s="42" t="n"/>
      <c r="D4" s="12" t="inlineStr">
        <is>
          <t>Cap Throws that work:</t>
        </is>
      </c>
      <c r="E4" s="34" t="inlineStr">
        <is>
          <t>Down Throw, Spin Throw, No Cap Throw Needed</t>
        </is>
      </c>
      <c r="F4" s="34" t="n"/>
      <c r="G4" s="34" t="n"/>
      <c r="H4" s="34" t="n"/>
      <c r="I4" s="34" t="n"/>
      <c r="J4" s="16">
        <f>CONCAT(COUNTIF(A3:A95,TRUE)," / 31")</f>
        <v/>
      </c>
    </row>
    <row r="5">
      <c r="A5" s="43" t="n"/>
      <c r="B5" s="44" t="n"/>
      <c r="C5" s="43" t="n"/>
      <c r="D5" s="19" t="inlineStr">
        <is>
          <t>Other Required:</t>
        </is>
      </c>
      <c r="E5" s="35" t="inlineStr">
        <is>
          <t>Capture</t>
        </is>
      </c>
      <c r="F5" s="35" t="n"/>
      <c r="G5" s="35" t="n"/>
      <c r="H5" s="35" t="n"/>
      <c r="I5" s="35" t="n"/>
      <c r="J5" s="16" t="inlineStr">
        <is>
          <t>Cascade Kingdom</t>
        </is>
      </c>
    </row>
    <row r="6">
      <c r="A6" s="41" t="b">
        <v>1</v>
      </c>
      <c r="B6" s="31" t="inlineStr">
        <is>
          <t>Cap Kingdom: Frog-Jumping from the Top Deck</t>
        </is>
      </c>
      <c r="C6" s="35" t="inlineStr">
        <is>
          <t>Frog</t>
        </is>
      </c>
      <c r="D6" s="12" t="inlineStr">
        <is>
          <t>Minimum Jump Height:</t>
        </is>
      </c>
      <c r="E6" s="34" t="inlineStr">
        <is>
          <t>No Jump Needed</t>
        </is>
      </c>
      <c r="F6" s="34" t="n"/>
      <c r="G6" s="34" t="n"/>
      <c r="H6" s="34" t="n"/>
      <c r="I6" s="34" t="n"/>
      <c r="J6" s="16">
        <f>CONCAT(COUNTIF(A96:A215,TRUE)," / 40")</f>
        <v/>
      </c>
    </row>
    <row r="7">
      <c r="B7" s="42" t="n"/>
      <c r="D7" s="12" t="inlineStr">
        <is>
          <t>Cap Throws that work:</t>
        </is>
      </c>
      <c r="E7" s="34" t="inlineStr">
        <is>
          <t>Neutral Throw, Up Throw, Down Throw, Spin Throw</t>
        </is>
      </c>
      <c r="F7" s="34" t="n"/>
      <c r="G7" s="34" t="n"/>
      <c r="H7" s="34" t="n"/>
      <c r="I7" s="34" t="n"/>
      <c r="J7" s="16" t="inlineStr">
        <is>
          <t>Sand Kingdom</t>
        </is>
      </c>
    </row>
    <row r="8">
      <c r="A8" s="43" t="n"/>
      <c r="B8" s="44" t="n"/>
      <c r="C8" s="43" t="n"/>
      <c r="D8" s="19" t="inlineStr">
        <is>
          <t>Other Required:</t>
        </is>
      </c>
      <c r="E8" s="35" t="inlineStr">
        <is>
          <t>Capture</t>
        </is>
      </c>
      <c r="F8" s="35" t="n"/>
      <c r="G8" s="35" t="n"/>
      <c r="H8" s="35" t="n"/>
      <c r="I8" s="35" t="n"/>
      <c r="J8" s="16">
        <f>CONCAT(COUNTIF(A216:A482,TRUE)," / 89")</f>
        <v/>
      </c>
    </row>
    <row r="9">
      <c r="A9" s="41" t="b">
        <v>1</v>
      </c>
      <c r="B9" s="31" t="inlineStr">
        <is>
          <t>Cap Kingdom: Cap Kingdom Timer Challenge 1</t>
        </is>
      </c>
      <c r="C9" s="35" t="n"/>
      <c r="D9" s="12" t="inlineStr">
        <is>
          <t>Minimum Jump Height:</t>
        </is>
      </c>
      <c r="E9" s="34" t="inlineStr">
        <is>
          <t>No Jump Needed</t>
        </is>
      </c>
      <c r="F9" s="34" t="n"/>
      <c r="G9" s="34" t="n"/>
      <c r="H9" s="34" t="n"/>
      <c r="I9" s="34" t="n"/>
      <c r="J9" s="16" t="inlineStr">
        <is>
          <t>Wooded Kingdom</t>
        </is>
      </c>
    </row>
    <row r="10">
      <c r="B10" s="42" t="n"/>
      <c r="D10" s="12" t="inlineStr">
        <is>
          <t>Cap Throws that work:</t>
        </is>
      </c>
      <c r="E10" s="34" t="inlineStr">
        <is>
          <t>Neutral Throw, Up Throw, Down Throw, Spin Throw</t>
        </is>
      </c>
      <c r="F10" s="34" t="n"/>
      <c r="G10" s="34" t="n"/>
      <c r="H10" s="34" t="n"/>
      <c r="I10" s="34" t="n"/>
      <c r="J10" s="16">
        <f>CONCAT(COUNTIF(A483:A710,TRUE)," / 76")</f>
        <v/>
      </c>
    </row>
    <row r="11">
      <c r="A11" s="43" t="n"/>
      <c r="B11" s="44" t="n"/>
      <c r="C11" s="43" t="n"/>
      <c r="D11" s="19" t="inlineStr">
        <is>
          <t>Other Required:</t>
        </is>
      </c>
      <c r="E11" s="35" t="n"/>
      <c r="F11" s="35" t="n"/>
      <c r="G11" s="35" t="n"/>
      <c r="H11" s="35" t="n"/>
      <c r="I11" s="35" t="n"/>
      <c r="J11" s="16" t="inlineStr">
        <is>
          <t>Lake Kingdom</t>
        </is>
      </c>
    </row>
    <row r="12">
      <c r="A12" s="41" t="b">
        <v>1</v>
      </c>
      <c r="B12" s="31" t="inlineStr">
        <is>
          <t>Cap Kingdom: Good Evening, Captain Toad!</t>
        </is>
      </c>
      <c r="C12" s="35" t="n"/>
      <c r="D12" s="12" t="inlineStr">
        <is>
          <t>Minimum Jump Height:</t>
        </is>
      </c>
      <c r="E12" s="34" t="inlineStr">
        <is>
          <t>Long Jump</t>
        </is>
      </c>
      <c r="F12" s="34" t="n"/>
      <c r="G12" s="34" t="n"/>
      <c r="H12" s="34" t="n"/>
      <c r="I12" s="34" t="n"/>
      <c r="J12" s="16">
        <f>CONCAT(COUNTIF(A711:A836,TRUE)," / 42")</f>
        <v/>
      </c>
    </row>
    <row r="13">
      <c r="B13" s="42" t="n"/>
      <c r="D13" s="12" t="inlineStr">
        <is>
          <t>Cap Throws that work:</t>
        </is>
      </c>
      <c r="E13" s="34" t="inlineStr">
        <is>
          <t>No Cap Throw Needed</t>
        </is>
      </c>
      <c r="F13" s="34" t="n"/>
      <c r="G13" s="34" t="n"/>
      <c r="H13" s="34" t="n"/>
      <c r="I13" s="34" t="n"/>
      <c r="J13" s="16" t="inlineStr">
        <is>
          <t>Cloud Kingdom</t>
        </is>
      </c>
    </row>
    <row r="14">
      <c r="A14" s="43" t="n"/>
      <c r="B14" s="44" t="n"/>
      <c r="C14" s="43" t="n"/>
      <c r="D14" s="19" t="inlineStr">
        <is>
          <t>Other Required:</t>
        </is>
      </c>
      <c r="E14" s="35" t="inlineStr">
        <is>
          <t>None</t>
        </is>
      </c>
      <c r="F14" s="35" t="n"/>
      <c r="G14" s="35" t="n"/>
      <c r="H14" s="35" t="n"/>
      <c r="I14" s="35" t="n"/>
      <c r="J14" s="16">
        <f>CONCAT(COUNTIF(A837:A863,TRUE)," / 9")</f>
        <v/>
      </c>
    </row>
    <row r="15">
      <c r="A15" s="41" t="b">
        <v>1</v>
      </c>
      <c r="B15" s="31" t="inlineStr">
        <is>
          <t>Cap Kingdom: Shopping in Bonneton</t>
        </is>
      </c>
      <c r="C15" s="35" t="n"/>
      <c r="D15" s="12" t="inlineStr">
        <is>
          <t>Minimum Jump Height:</t>
        </is>
      </c>
      <c r="E15" s="34" t="inlineStr">
        <is>
          <t>No Jump Needed</t>
        </is>
      </c>
      <c r="F15" s="34" t="n"/>
      <c r="G15" s="34" t="n"/>
      <c r="H15" s="34" t="n"/>
      <c r="I15" s="34" t="n"/>
      <c r="J15" s="16" t="inlineStr">
        <is>
          <t>Lost Kingdom</t>
        </is>
      </c>
    </row>
    <row r="16">
      <c r="B16" s="42" t="n"/>
      <c r="D16" s="12" t="inlineStr">
        <is>
          <t>Cap Throws that work:</t>
        </is>
      </c>
      <c r="E16" s="34" t="inlineStr">
        <is>
          <t>No Cap Throw Needed</t>
        </is>
      </c>
      <c r="F16" s="34" t="n"/>
      <c r="G16" s="34" t="n"/>
      <c r="H16" s="34" t="n"/>
      <c r="I16" s="34" t="n"/>
      <c r="J16" s="16">
        <f>CONCAT(COUNTIF(A864:A968,TRUE)," / 35")</f>
        <v/>
      </c>
    </row>
    <row r="17">
      <c r="A17" s="43" t="n"/>
      <c r="B17" s="44" t="n"/>
      <c r="C17" s="43" t="n"/>
      <c r="D17" s="19" t="inlineStr">
        <is>
          <t>Other Required:</t>
        </is>
      </c>
      <c r="E17" s="35" t="inlineStr">
        <is>
          <t>None</t>
        </is>
      </c>
      <c r="F17" s="35" t="n"/>
      <c r="G17" s="35" t="n"/>
      <c r="H17" s="35" t="n"/>
      <c r="I17" s="35" t="n"/>
      <c r="J17" s="16" t="inlineStr">
        <is>
          <t>Metro Kingdom</t>
        </is>
      </c>
    </row>
    <row r="18">
      <c r="A18" s="41" t="b">
        <v>1</v>
      </c>
      <c r="B18" s="31" t="inlineStr">
        <is>
          <t>Poison Tides: Skimming the Poison Tide</t>
        </is>
      </c>
      <c r="C18" s="35" t="inlineStr">
        <is>
          <t>Paragoomba</t>
        </is>
      </c>
      <c r="D18" s="12" t="inlineStr">
        <is>
          <t>Minimum Jump Height:</t>
        </is>
      </c>
      <c r="E18" s="34" t="n"/>
      <c r="F18" s="34" t="n"/>
      <c r="G18" s="34" t="n"/>
      <c r="H18" s="34" t="n"/>
      <c r="I18" s="34" t="n"/>
      <c r="J18" s="16">
        <f>CONCAT(COUNTIF(A969:A1211,TRUE)," / 81")</f>
        <v/>
      </c>
    </row>
    <row r="19">
      <c r="B19" s="42" t="n"/>
      <c r="D19" s="12" t="inlineStr">
        <is>
          <t>Cap Throws that work:</t>
        </is>
      </c>
      <c r="E19" s="34" t="inlineStr">
        <is>
          <t>Neutral Throw, Down Throw, Up Throw, Spin Throw</t>
        </is>
      </c>
      <c r="F19" s="34" t="n"/>
      <c r="G19" s="34" t="n"/>
      <c r="H19" s="34" t="n"/>
      <c r="I19" s="34" t="n"/>
      <c r="J19" s="16" t="inlineStr">
        <is>
          <t>Seaside Kingdom</t>
        </is>
      </c>
    </row>
    <row r="20">
      <c r="A20" s="43" t="n"/>
      <c r="B20" s="44" t="n"/>
      <c r="C20" s="43" t="n"/>
      <c r="D20" s="19" t="inlineStr">
        <is>
          <t>Other Required:</t>
        </is>
      </c>
      <c r="E20" s="35" t="inlineStr">
        <is>
          <t>Capture</t>
        </is>
      </c>
      <c r="F20" s="35" t="n"/>
      <c r="G20" s="35" t="n"/>
      <c r="H20" s="35" t="n"/>
      <c r="I20" s="35" t="n"/>
      <c r="J20" s="16">
        <f>CONCAT(COUNTIF(A1212:A1424,TRUE)," / 71")</f>
        <v/>
      </c>
    </row>
    <row r="21">
      <c r="A21" s="41" t="b">
        <v>1</v>
      </c>
      <c r="B21" s="31" t="inlineStr">
        <is>
          <t>Poison Tides: Slipping Through the Poison Tide</t>
        </is>
      </c>
      <c r="C21" s="35" t="inlineStr">
        <is>
          <t>Paragoomba</t>
        </is>
      </c>
      <c r="D21" s="12" t="inlineStr">
        <is>
          <t>Minimum Jump Height:</t>
        </is>
      </c>
      <c r="E21" s="34" t="n"/>
      <c r="F21" s="34" t="n"/>
      <c r="G21" s="34" t="n"/>
      <c r="H21" s="34" t="n"/>
      <c r="I21" s="34" t="n"/>
      <c r="J21" s="16" t="inlineStr">
        <is>
          <t>Snow Kingdom</t>
        </is>
      </c>
    </row>
    <row r="22">
      <c r="B22" s="42" t="n"/>
      <c r="D22" s="12" t="inlineStr">
        <is>
          <t>Cap Throws that work:</t>
        </is>
      </c>
      <c r="E22" s="34" t="inlineStr">
        <is>
          <t>Neutral Throw, Down Throw, Up Throw, Spin Throw</t>
        </is>
      </c>
      <c r="F22" s="34" t="n"/>
      <c r="G22" s="34" t="n"/>
      <c r="H22" s="34" t="n"/>
      <c r="I22" s="34" t="n"/>
      <c r="J22" s="16">
        <f>CONCAT(COUNTIF(A1425:A1589,TRUE)," / 55")</f>
        <v/>
      </c>
    </row>
    <row r="23">
      <c r="A23" s="43" t="n"/>
      <c r="B23" s="44" t="n"/>
      <c r="C23" s="43" t="n"/>
      <c r="D23" s="19" t="inlineStr">
        <is>
          <t>Other Required:</t>
        </is>
      </c>
      <c r="E23" s="35" t="inlineStr">
        <is>
          <t>Capture</t>
        </is>
      </c>
      <c r="F23" s="35" t="n"/>
      <c r="G23" s="35" t="n"/>
      <c r="H23" s="35" t="n"/>
      <c r="I23" s="35" t="n"/>
      <c r="J23" s="16" t="inlineStr">
        <is>
          <t>Luncheon Kingdom</t>
        </is>
      </c>
    </row>
    <row r="24">
      <c r="A24" s="41" t="b">
        <v>1</v>
      </c>
      <c r="B24" s="31" t="inlineStr">
        <is>
          <t>Push Block Peril: Push-Block Peril</t>
        </is>
      </c>
      <c r="C24" s="35" t="inlineStr">
        <is>
          <t>Spark pylon</t>
        </is>
      </c>
      <c r="D24" s="12" t="inlineStr">
        <is>
          <t>Minimum Jump Height:</t>
        </is>
      </c>
      <c r="E24" s="34" t="inlineStr">
        <is>
          <t>Single Jump (258)</t>
        </is>
      </c>
      <c r="F24" s="34" t="n"/>
      <c r="G24" s="34" t="n"/>
      <c r="H24" s="34" t="n"/>
      <c r="I24" s="34" t="n"/>
      <c r="J24" s="16">
        <f>CONCAT(COUNTIF(A1590:A1793,TRUE)," / 68")</f>
        <v/>
      </c>
    </row>
    <row r="25">
      <c r="B25" s="42" t="n"/>
      <c r="D25" s="12" t="inlineStr">
        <is>
          <t>Cap Throws that work:</t>
        </is>
      </c>
      <c r="E25" s="34" t="inlineStr">
        <is>
          <t>No Cap Throw Needed</t>
        </is>
      </c>
      <c r="F25" s="34" t="n"/>
      <c r="G25" s="34" t="n"/>
      <c r="H25" s="34" t="n"/>
      <c r="I25" s="34" t="n"/>
      <c r="J25" s="16" t="inlineStr">
        <is>
          <t>Ruined Kingdom</t>
        </is>
      </c>
    </row>
    <row r="26">
      <c r="A26" s="43" t="n"/>
      <c r="B26" s="44" t="n"/>
      <c r="C26" s="43" t="n"/>
      <c r="D26" s="19" t="inlineStr">
        <is>
          <t>Other Required:</t>
        </is>
      </c>
      <c r="E26" s="35" t="inlineStr">
        <is>
          <t xml:space="preserve">Capture, </t>
        </is>
      </c>
      <c r="F26" s="35" t="n"/>
      <c r="G26" s="35" t="n"/>
      <c r="H26" s="35" t="n"/>
      <c r="I26" s="35" t="n"/>
      <c r="J26" s="16">
        <f>CONCAT(COUNTIF(A1794:A1823,TRUE)," / 10")</f>
        <v/>
      </c>
    </row>
    <row r="27">
      <c r="A27" s="41" t="b">
        <v>1</v>
      </c>
      <c r="B27" s="31" t="inlineStr">
        <is>
          <t>Push Block Peril: Hidden Among the Push-Blocks</t>
        </is>
      </c>
      <c r="C27" s="35" t="inlineStr">
        <is>
          <t>Spark pylon</t>
        </is>
      </c>
      <c r="D27" s="12" t="inlineStr">
        <is>
          <t>Minimum Jump Height:</t>
        </is>
      </c>
      <c r="E27" s="34" t="inlineStr">
        <is>
          <t>Single Jump (258)</t>
        </is>
      </c>
      <c r="F27" s="34" t="n"/>
      <c r="G27" s="34" t="n"/>
      <c r="H27" s="34" t="n"/>
      <c r="I27" s="34" t="n"/>
      <c r="J27" s="16" t="inlineStr">
        <is>
          <t>Bowser's Kingdom</t>
        </is>
      </c>
    </row>
    <row r="28">
      <c r="B28" s="42" t="n"/>
      <c r="D28" s="12" t="inlineStr">
        <is>
          <t>Cap Throws that work:</t>
        </is>
      </c>
      <c r="E28" s="34" t="inlineStr">
        <is>
          <t>No Cap Throw Needed</t>
        </is>
      </c>
      <c r="F28" s="34" t="n"/>
      <c r="G28" s="34" t="n"/>
      <c r="H28" s="34" t="n"/>
      <c r="I28" s="34" t="n"/>
      <c r="J28" s="16">
        <f>CONCAT(COUNTIF(A1824:A2009,TRUE)," / 62")</f>
        <v/>
      </c>
    </row>
    <row r="29">
      <c r="A29" s="43" t="n"/>
      <c r="B29" s="44" t="n"/>
      <c r="C29" s="43" t="n"/>
      <c r="D29" s="19" t="inlineStr">
        <is>
          <t>Other Required:</t>
        </is>
      </c>
      <c r="E29" s="35" t="inlineStr">
        <is>
          <t>Capture</t>
        </is>
      </c>
      <c r="F29" s="35" t="n"/>
      <c r="G29" s="35" t="n"/>
      <c r="H29" s="35" t="n"/>
      <c r="I29" s="35" t="n"/>
      <c r="J29" s="16" t="inlineStr">
        <is>
          <t>Moon Kingdom</t>
        </is>
      </c>
    </row>
    <row r="30">
      <c r="A30" s="41" t="b">
        <v>1</v>
      </c>
      <c r="B30" s="31" t="inlineStr">
        <is>
          <t>Frog Pond: Searching the Frog Pond</t>
        </is>
      </c>
      <c r="C30" s="35" t="inlineStr">
        <is>
          <t>Frog</t>
        </is>
      </c>
      <c r="D30" s="12" t="inlineStr">
        <is>
          <t>Minimum Jump Height:</t>
        </is>
      </c>
      <c r="E30" s="34" t="inlineStr">
        <is>
          <t>Backflip/Vault/Side Flip (496)</t>
        </is>
      </c>
      <c r="F30" s="34" t="inlineStr">
        <is>
          <t>No Jump Needed</t>
        </is>
      </c>
      <c r="G30" s="34" t="inlineStr">
        <is>
          <t>Cap Return Jump (400)</t>
        </is>
      </c>
      <c r="H30" s="34" t="inlineStr">
        <is>
          <t>Triple Jump (550)</t>
        </is>
      </c>
      <c r="I30" s="34" t="n"/>
      <c r="J30" s="16">
        <f>CONCAT(COUNTIF(A2010:A2123,TRUE)," / 38")</f>
        <v/>
      </c>
    </row>
    <row r="31">
      <c r="B31" s="42" t="n"/>
      <c r="D31" s="12" t="inlineStr">
        <is>
          <t>Cap Throws that work:</t>
        </is>
      </c>
      <c r="E31" s="34" t="inlineStr">
        <is>
          <t>Spin Throw, Down Throw, Up Throw, Neutral Throw</t>
        </is>
      </c>
      <c r="F31" s="34" t="inlineStr">
        <is>
          <t>Neutral Throw, Up Throw, Down Throw, Spin Throw</t>
        </is>
      </c>
      <c r="G31" s="34" t="inlineStr">
        <is>
          <t>Neutral Throw, Up Throw, Down Throw, Spin Throw</t>
        </is>
      </c>
      <c r="H31" s="34" t="inlineStr">
        <is>
          <t>No Cap Throw Needed</t>
        </is>
      </c>
      <c r="I31" s="34" t="n"/>
      <c r="J31" s="16" t="inlineStr">
        <is>
          <t>Mushroom Kingdom</t>
        </is>
      </c>
    </row>
    <row r="32">
      <c r="A32" s="43" t="n"/>
      <c r="B32" s="44" t="n"/>
      <c r="C32" s="43" t="n"/>
      <c r="D32" s="19" t="inlineStr">
        <is>
          <t>Other Required:</t>
        </is>
      </c>
      <c r="E32" s="35" t="inlineStr">
        <is>
          <t>Dive</t>
        </is>
      </c>
      <c r="F32" s="35" t="inlineStr">
        <is>
          <t>Capture</t>
        </is>
      </c>
      <c r="G32" s="35" t="inlineStr">
        <is>
          <t>Wall Slide, Dive</t>
        </is>
      </c>
      <c r="H32" s="35" t="inlineStr">
        <is>
          <t>Dive</t>
        </is>
      </c>
      <c r="I32" s="35" t="n"/>
      <c r="J32" s="16">
        <f>CONCAT(COUNTIF(A2124:A2252,TRUE)+61," / 104")</f>
        <v/>
      </c>
    </row>
    <row r="33">
      <c r="A33" s="41" t="b">
        <v>1</v>
      </c>
      <c r="B33" s="31" t="inlineStr">
        <is>
          <t>Frog Pond: Secrets of the Frog Pond</t>
        </is>
      </c>
      <c r="C33" s="35" t="inlineStr">
        <is>
          <t>Frog</t>
        </is>
      </c>
      <c r="D33" s="12" t="inlineStr">
        <is>
          <t>Minimum Jump Height:</t>
        </is>
      </c>
      <c r="E33" s="34" t="inlineStr">
        <is>
          <t>Backflip/Vault/Side Flip (496)</t>
        </is>
      </c>
      <c r="F33" s="34" t="inlineStr">
        <is>
          <t>No Jump Needed</t>
        </is>
      </c>
      <c r="G33" s="34" t="n"/>
      <c r="H33" s="34" t="n"/>
      <c r="I33" s="34" t="n"/>
      <c r="J33" s="16" t="inlineStr">
        <is>
          <t>Dark Side</t>
        </is>
      </c>
    </row>
    <row r="34">
      <c r="B34" s="42" t="n"/>
      <c r="D34" s="12" t="inlineStr">
        <is>
          <t>Cap Throws that work:</t>
        </is>
      </c>
      <c r="E34" s="34" t="inlineStr">
        <is>
          <t>Neutral Throw</t>
        </is>
      </c>
      <c r="F34" s="34" t="inlineStr">
        <is>
          <t>Neutral Throw, Up Throw, Down Throw, Spin Throw</t>
        </is>
      </c>
      <c r="G34" s="34" t="n"/>
      <c r="H34" s="34" t="n"/>
      <c r="I34" s="34" t="n"/>
      <c r="J34" s="16">
        <f>CONCAT(COUNTIF(A2253:A2324,TRUE)," / 24")</f>
        <v/>
      </c>
    </row>
    <row r="35">
      <c r="A35" s="43" t="n"/>
      <c r="B35" s="44" t="n"/>
      <c r="C35" s="43" t="n"/>
      <c r="D35" s="19" t="inlineStr">
        <is>
          <t>Other Required:</t>
        </is>
      </c>
      <c r="E35" s="35" t="inlineStr">
        <is>
          <t>Wall Slide, Dive</t>
        </is>
      </c>
      <c r="F35" s="35" t="inlineStr">
        <is>
          <t>Capture</t>
        </is>
      </c>
      <c r="G35" s="35" t="n"/>
      <c r="H35" s="35" t="n"/>
      <c r="I35" s="35" t="n"/>
      <c r="J35" s="16" t="inlineStr">
        <is>
          <t>Darker Side</t>
        </is>
      </c>
    </row>
    <row r="36">
      <c r="A36" s="41" t="b">
        <v>1</v>
      </c>
      <c r="B36" s="31" t="inlineStr">
        <is>
          <t>Cap Kingdom: The Forgotten Treasure</t>
        </is>
      </c>
      <c r="C36" s="35" t="n"/>
      <c r="D36" s="12" t="inlineStr">
        <is>
          <t>Minimum Jump Height:</t>
        </is>
      </c>
      <c r="E36" s="34" t="inlineStr">
        <is>
          <t>Double Jump (312)</t>
        </is>
      </c>
      <c r="F36" s="34" t="n"/>
      <c r="G36" s="34" t="n"/>
      <c r="H36" s="34" t="n"/>
      <c r="I36" s="34" t="n"/>
      <c r="J36" s="16">
        <f>CONCAT(COUNTIF(A2325:A2327,TRUE)," / 1")</f>
        <v/>
      </c>
    </row>
    <row r="37">
      <c r="B37" s="42" t="n"/>
      <c r="D37" s="12" t="inlineStr">
        <is>
          <t>Cap Throws that work:</t>
        </is>
      </c>
      <c r="E37" s="34" t="inlineStr">
        <is>
          <t>Neutral Throw, Up Throw, Down Throw, Spin Throw</t>
        </is>
      </c>
      <c r="F37" s="34" t="n"/>
      <c r="G37" s="34" t="n"/>
      <c r="H37" s="34" t="n"/>
      <c r="I37" s="34" t="n"/>
      <c r="J37" s="16" t="n"/>
    </row>
    <row r="38">
      <c r="A38" s="43" t="n"/>
      <c r="B38" s="44" t="n"/>
      <c r="C38" s="43" t="n"/>
      <c r="D38" s="19" t="inlineStr">
        <is>
          <t>Other Required:</t>
        </is>
      </c>
      <c r="E38" s="35" t="inlineStr">
        <is>
          <t>Ground Pound</t>
        </is>
      </c>
      <c r="F38" s="35" t="n"/>
      <c r="G38" s="35" t="n"/>
      <c r="H38" s="35" t="n"/>
      <c r="I38" s="35" t="n"/>
      <c r="J38" s="16" t="n"/>
    </row>
    <row r="39">
      <c r="A39" s="41" t="b">
        <v>1</v>
      </c>
      <c r="B39" s="31" t="inlineStr">
        <is>
          <t>Cap Kingdom: Taxi Flying Through Bonneton</t>
        </is>
      </c>
      <c r="C39" s="35" t="n"/>
      <c r="D39" s="12" t="inlineStr">
        <is>
          <t>Minimum Jump Height:</t>
        </is>
      </c>
      <c r="E39" s="34" t="n"/>
      <c r="F39" s="34" t="n"/>
      <c r="G39" s="34" t="n"/>
      <c r="H39" s="34" t="n"/>
      <c r="I39" s="34" t="n"/>
      <c r="J39" s="16" t="n"/>
    </row>
    <row r="40">
      <c r="B40" s="42" t="n"/>
      <c r="D40" s="12" t="inlineStr">
        <is>
          <t>Cap Throws that work:</t>
        </is>
      </c>
      <c r="E40" s="34" t="inlineStr">
        <is>
          <t>Neutral Throw, Up Throw, Down Throw, Spin Throw</t>
        </is>
      </c>
      <c r="F40" s="34" t="n"/>
      <c r="G40" s="34" t="n"/>
      <c r="H40" s="34" t="n"/>
      <c r="I40" s="34" t="n"/>
      <c r="J40" s="16" t="n"/>
    </row>
    <row r="41">
      <c r="A41" s="43" t="n"/>
      <c r="B41" s="44" t="n"/>
      <c r="C41" s="43" t="n"/>
      <c r="D41" s="19" t="inlineStr">
        <is>
          <t>Other Required:</t>
        </is>
      </c>
      <c r="E41" s="35" t="inlineStr">
        <is>
          <t>Capture</t>
        </is>
      </c>
      <c r="F41" s="35" t="n"/>
      <c r="G41" s="35" t="n"/>
      <c r="H41" s="35" t="n"/>
      <c r="I41" s="35" t="n"/>
      <c r="J41" s="16" t="n"/>
    </row>
    <row r="42">
      <c r="A42" s="41" t="b">
        <v>1</v>
      </c>
      <c r="B42" s="31" t="inlineStr">
        <is>
          <t>Cap Kingdom: Bonneter Blockade</t>
        </is>
      </c>
      <c r="C42" s="35" t="inlineStr">
        <is>
          <t>Paragoomba</t>
        </is>
      </c>
      <c r="D42" s="12" t="inlineStr">
        <is>
          <t>Minimum Jump Height:</t>
        </is>
      </c>
      <c r="E42" s="34" t="n"/>
      <c r="F42" s="34" t="n"/>
      <c r="G42" s="34" t="n"/>
      <c r="H42" s="34" t="n"/>
      <c r="I42" s="34" t="n"/>
      <c r="J42" s="16" t="n"/>
    </row>
    <row r="43">
      <c r="B43" s="42" t="n"/>
      <c r="D43" s="12" t="inlineStr">
        <is>
          <t>Cap Throws that work:</t>
        </is>
      </c>
      <c r="E43" s="34" t="inlineStr">
        <is>
          <t>Neutral Throw, Up Throw, Down Throw, Spin Throw</t>
        </is>
      </c>
      <c r="F43" s="34" t="n"/>
      <c r="G43" s="34" t="n"/>
      <c r="H43" s="34" t="n"/>
      <c r="I43" s="34" t="n"/>
      <c r="J43" s="16" t="n"/>
    </row>
    <row r="44">
      <c r="A44" s="43" t="n"/>
      <c r="B44" s="44" t="n"/>
      <c r="C44" s="43" t="n"/>
      <c r="D44" s="19" t="inlineStr">
        <is>
          <t>Other Required:</t>
        </is>
      </c>
      <c r="E44" s="35" t="inlineStr">
        <is>
          <t>Capture</t>
        </is>
      </c>
      <c r="F44" s="35" t="n"/>
      <c r="G44" s="35" t="n"/>
      <c r="H44" s="35" t="n"/>
      <c r="I44" s="35" t="n"/>
      <c r="J44" s="16" t="n"/>
    </row>
    <row r="45">
      <c r="A45" s="41" t="b">
        <v>1</v>
      </c>
      <c r="B45" s="31" t="inlineStr">
        <is>
          <t>Cap Kingdom: Cap Kingdom Regular Cup</t>
        </is>
      </c>
      <c r="C45" s="35" t="n"/>
      <c r="D45" s="12" t="inlineStr">
        <is>
          <t>Minimum Jump Height:</t>
        </is>
      </c>
      <c r="E45" s="34" t="inlineStr">
        <is>
          <t>Long Jump</t>
        </is>
      </c>
      <c r="F45" s="34" t="n"/>
      <c r="G45" s="34" t="n"/>
      <c r="H45" s="34" t="n"/>
      <c r="I45" s="34" t="n"/>
      <c r="J45" s="16" t="n"/>
    </row>
    <row r="46">
      <c r="B46" s="42" t="n"/>
      <c r="D46" s="12" t="inlineStr">
        <is>
          <t>Cap Throws that work:</t>
        </is>
      </c>
      <c r="E46" s="34" t="inlineStr">
        <is>
          <t>No Cap Throw Needed</t>
        </is>
      </c>
      <c r="F46" s="34" t="n"/>
      <c r="G46" s="34" t="n"/>
      <c r="H46" s="34" t="n"/>
      <c r="I46" s="34" t="n"/>
      <c r="J46" s="16" t="n"/>
    </row>
    <row r="47">
      <c r="A47" s="43" t="n"/>
      <c r="B47" s="44" t="n"/>
      <c r="C47" s="43" t="n"/>
      <c r="D47" s="19" t="inlineStr">
        <is>
          <t>Other Required:</t>
        </is>
      </c>
      <c r="E47" s="35" t="inlineStr">
        <is>
          <t>None</t>
        </is>
      </c>
      <c r="F47" s="35" t="n"/>
      <c r="G47" s="35" t="n"/>
      <c r="H47" s="35" t="n"/>
      <c r="I47" s="35" t="n"/>
      <c r="J47" s="16" t="n"/>
    </row>
    <row r="48">
      <c r="A48" s="41" t="b">
        <v>1</v>
      </c>
      <c r="B48" s="31" t="inlineStr">
        <is>
          <t>Cap Kingdom: Peach in the Cap Kingdom</t>
        </is>
      </c>
      <c r="C48" s="35" t="n"/>
      <c r="D48" s="12" t="inlineStr">
        <is>
          <t>Minimum Jump Height:</t>
        </is>
      </c>
      <c r="E48" s="34" t="inlineStr">
        <is>
          <t>Long Jump</t>
        </is>
      </c>
      <c r="F48" s="34" t="n"/>
      <c r="G48" s="34" t="n"/>
      <c r="H48" s="34" t="n"/>
      <c r="I48" s="34" t="n"/>
      <c r="J48" s="16" t="n"/>
    </row>
    <row r="49">
      <c r="B49" s="42" t="n"/>
      <c r="D49" s="12" t="inlineStr">
        <is>
          <t>Cap Throws that work:</t>
        </is>
      </c>
      <c r="E49" s="34" t="inlineStr">
        <is>
          <t>No Cap Throw Needed</t>
        </is>
      </c>
      <c r="F49" s="34" t="n"/>
      <c r="G49" s="34" t="n"/>
      <c r="H49" s="34" t="n"/>
      <c r="I49" s="34" t="n"/>
      <c r="J49" s="16" t="n"/>
    </row>
    <row r="50">
      <c r="A50" s="43" t="n"/>
      <c r="B50" s="44" t="n"/>
      <c r="C50" s="43" t="n"/>
      <c r="D50" s="19" t="inlineStr">
        <is>
          <t>Other Required:</t>
        </is>
      </c>
      <c r="E50" s="35" t="inlineStr">
        <is>
          <t>None</t>
        </is>
      </c>
      <c r="F50" s="35" t="n"/>
      <c r="G50" s="35" t="n"/>
      <c r="H50" s="35" t="n"/>
      <c r="I50" s="35" t="n"/>
      <c r="J50" s="16" t="n"/>
    </row>
    <row r="51">
      <c r="A51" s="41" t="b">
        <v>1</v>
      </c>
      <c r="B51" s="31" t="inlineStr">
        <is>
          <t>Cap Kingdom: Found with Cap Kingdom Art</t>
        </is>
      </c>
      <c r="C51" s="35" t="n"/>
      <c r="D51" s="12" t="inlineStr">
        <is>
          <t>Minimum Jump Height:</t>
        </is>
      </c>
      <c r="E51" s="34" t="inlineStr">
        <is>
          <t>No Jump Needed</t>
        </is>
      </c>
      <c r="F51" s="34" t="n"/>
      <c r="G51" s="34" t="n"/>
      <c r="H51" s="34" t="n"/>
      <c r="I51" s="34" t="n"/>
      <c r="J51" s="16" t="n"/>
    </row>
    <row r="52">
      <c r="B52" s="42" t="n"/>
      <c r="D52" s="12" t="inlineStr">
        <is>
          <t>Cap Throws that work:</t>
        </is>
      </c>
      <c r="E52" s="34" t="inlineStr">
        <is>
          <t>No Cap Throw Needed</t>
        </is>
      </c>
      <c r="F52" s="34" t="n"/>
      <c r="G52" s="34" t="n"/>
      <c r="H52" s="34" t="n"/>
      <c r="I52" s="34" t="n"/>
      <c r="J52" s="16" t="n"/>
    </row>
    <row r="53">
      <c r="A53" s="43" t="n"/>
      <c r="B53" s="44" t="n"/>
      <c r="C53" s="43" t="n"/>
      <c r="D53" s="19" t="inlineStr">
        <is>
          <t>Other Required:</t>
        </is>
      </c>
      <c r="E53" s="35" t="inlineStr">
        <is>
          <t>Ground Pound</t>
        </is>
      </c>
      <c r="F53" s="35" t="n"/>
      <c r="G53" s="35" t="n"/>
      <c r="H53" s="35" t="n"/>
      <c r="I53" s="35" t="n"/>
      <c r="J53" s="16" t="n"/>
    </row>
    <row r="54">
      <c r="A54" s="41" t="b">
        <v>1</v>
      </c>
      <c r="B54" s="31" t="inlineStr">
        <is>
          <t>Cap Kingdom: Next to Glasses Bridge</t>
        </is>
      </c>
      <c r="C54" s="34" t="inlineStr">
        <is>
          <t>Paragoomba</t>
        </is>
      </c>
      <c r="D54" s="12" t="inlineStr">
        <is>
          <t>Minimum Jump Height:</t>
        </is>
      </c>
      <c r="E54" s="34" t="inlineStr">
        <is>
          <t>Long Jump</t>
        </is>
      </c>
      <c r="F54" s="34" t="inlineStr">
        <is>
          <t>No Jump Needed</t>
        </is>
      </c>
      <c r="G54" s="34" t="n"/>
      <c r="H54" s="34" t="n"/>
      <c r="I54" s="34" t="n"/>
      <c r="J54" s="16" t="n"/>
    </row>
    <row r="55">
      <c r="B55" s="42" t="n"/>
      <c r="C55" s="34" t="inlineStr">
        <is>
          <t>Frog</t>
        </is>
      </c>
      <c r="D55" s="12" t="inlineStr">
        <is>
          <t>Cap Throws that work:</t>
        </is>
      </c>
      <c r="E55" s="34" t="inlineStr">
        <is>
          <t>No Cap Throw Needed</t>
        </is>
      </c>
      <c r="F55" s="34" t="inlineStr">
        <is>
          <t>Neutral Throw, Up Throw, Down Throw, Spin Throw</t>
        </is>
      </c>
      <c r="G55" s="34" t="n"/>
      <c r="H55" s="34" t="n"/>
      <c r="I55" s="34" t="n"/>
      <c r="J55" s="16" t="n"/>
    </row>
    <row r="56">
      <c r="A56" s="43" t="n"/>
      <c r="B56" s="44" t="n"/>
      <c r="C56" s="35" t="n"/>
      <c r="D56" s="19" t="inlineStr">
        <is>
          <t>Other Required:</t>
        </is>
      </c>
      <c r="E56" s="35" t="inlineStr">
        <is>
          <t>None</t>
        </is>
      </c>
      <c r="F56" s="35" t="inlineStr">
        <is>
          <t>Capture</t>
        </is>
      </c>
      <c r="G56" s="35" t="n"/>
      <c r="H56" s="35" t="n"/>
      <c r="I56" s="35" t="n"/>
      <c r="J56" s="16" t="n"/>
    </row>
    <row r="57">
      <c r="A57" s="41" t="b">
        <v>1</v>
      </c>
      <c r="B57" s="31" t="inlineStr">
        <is>
          <t>Cap Kingdom: Danger Sign</t>
        </is>
      </c>
      <c r="C57" s="35" t="inlineStr">
        <is>
          <t>Paragoomba</t>
        </is>
      </c>
      <c r="D57" s="12" t="inlineStr">
        <is>
          <t>Minimum Jump Height:</t>
        </is>
      </c>
      <c r="E57" s="34" t="inlineStr">
        <is>
          <t>No Jump Needed</t>
        </is>
      </c>
      <c r="F57" s="34" t="n"/>
      <c r="G57" s="34" t="n"/>
      <c r="H57" s="34" t="n"/>
      <c r="I57" s="34" t="n"/>
      <c r="J57" s="16" t="n"/>
    </row>
    <row r="58">
      <c r="B58" s="42" t="n"/>
      <c r="D58" s="12" t="inlineStr">
        <is>
          <t>Cap Throws that work:</t>
        </is>
      </c>
      <c r="E58" s="34" t="inlineStr">
        <is>
          <t>Neutral Throw, Up Throw, Down Throw, Spin Throw</t>
        </is>
      </c>
      <c r="F58" s="34" t="n"/>
      <c r="G58" s="34" t="n"/>
      <c r="H58" s="34" t="n"/>
      <c r="I58" s="34" t="n"/>
      <c r="J58" s="16" t="n"/>
    </row>
    <row r="59">
      <c r="A59" s="43" t="n"/>
      <c r="B59" s="44" t="n"/>
      <c r="C59" s="43" t="n"/>
      <c r="D59" s="19" t="inlineStr">
        <is>
          <t>Other Required:</t>
        </is>
      </c>
      <c r="E59" s="35" t="inlineStr">
        <is>
          <t>Capture</t>
        </is>
      </c>
      <c r="F59" s="35" t="n"/>
      <c r="G59" s="35" t="n"/>
      <c r="H59" s="35" t="n"/>
      <c r="I59" s="35" t="n"/>
      <c r="J59" s="16" t="n"/>
    </row>
    <row r="60">
      <c r="A60" s="41" t="b">
        <v>1</v>
      </c>
      <c r="B60" s="31" t="inlineStr">
        <is>
          <t>Cap Kingdom: Under the Big One's Brim</t>
        </is>
      </c>
      <c r="C60" s="35" t="n"/>
      <c r="D60" s="12" t="inlineStr">
        <is>
          <t>Minimum Jump Height:</t>
        </is>
      </c>
      <c r="E60" s="34" t="inlineStr">
        <is>
          <t>Long Jump</t>
        </is>
      </c>
      <c r="F60" s="34" t="inlineStr">
        <is>
          <t>No Jump Needed</t>
        </is>
      </c>
      <c r="G60" s="34" t="n"/>
      <c r="H60" s="34" t="n"/>
      <c r="I60" s="34" t="n"/>
      <c r="J60" s="16" t="n"/>
    </row>
    <row r="61">
      <c r="B61" s="42" t="n"/>
      <c r="D61" s="12" t="inlineStr">
        <is>
          <t>Cap Throws that work:</t>
        </is>
      </c>
      <c r="E61" s="34" t="inlineStr">
        <is>
          <t>No Cap Throw Needed</t>
        </is>
      </c>
      <c r="F61" s="34" t="inlineStr">
        <is>
          <t>No Cap Throw Needed</t>
        </is>
      </c>
      <c r="G61" s="34" t="n"/>
      <c r="H61" s="34" t="n"/>
      <c r="I61" s="34" t="n"/>
      <c r="J61" s="16" t="n"/>
    </row>
    <row r="62">
      <c r="A62" s="43" t="n"/>
      <c r="B62" s="44" t="n"/>
      <c r="C62" s="43" t="n"/>
      <c r="D62" s="19" t="inlineStr">
        <is>
          <t>Other Required:</t>
        </is>
      </c>
      <c r="E62" s="35" t="inlineStr">
        <is>
          <t>None</t>
        </is>
      </c>
      <c r="F62" s="35" t="inlineStr">
        <is>
          <t>Roll</t>
        </is>
      </c>
      <c r="G62" s="35" t="n"/>
      <c r="H62" s="35" t="n"/>
      <c r="I62" s="35" t="n"/>
      <c r="J62" s="16" t="n"/>
    </row>
    <row r="63">
      <c r="A63" s="41" t="b">
        <v>1</v>
      </c>
      <c r="B63" s="31" t="inlineStr">
        <is>
          <t>Cap Kingdom: Fly to the Edge of the Fog</t>
        </is>
      </c>
      <c r="C63" s="35" t="inlineStr">
        <is>
          <t>Paragoomba</t>
        </is>
      </c>
      <c r="D63" s="12" t="inlineStr">
        <is>
          <t>Minimum Jump Height:</t>
        </is>
      </c>
      <c r="E63" s="34" t="inlineStr">
        <is>
          <t>No Jump Needed</t>
        </is>
      </c>
      <c r="F63" s="34" t="n"/>
      <c r="G63" s="34" t="n"/>
      <c r="H63" s="34" t="n"/>
      <c r="I63" s="34" t="n"/>
      <c r="J63" s="16" t="n"/>
    </row>
    <row r="64">
      <c r="B64" s="42" t="n"/>
      <c r="D64" s="12" t="inlineStr">
        <is>
          <t>Cap Throws that work:</t>
        </is>
      </c>
      <c r="E64" s="34" t="inlineStr">
        <is>
          <t>Neutral Throw, Up Throw, Down Throw, Spin Throw</t>
        </is>
      </c>
      <c r="F64" s="34" t="n"/>
      <c r="G64" s="34" t="n"/>
      <c r="H64" s="34" t="n"/>
      <c r="I64" s="34" t="n"/>
      <c r="J64" s="16" t="n"/>
    </row>
    <row r="65">
      <c r="A65" s="43" t="n"/>
      <c r="B65" s="44" t="n"/>
      <c r="C65" s="43" t="n"/>
      <c r="D65" s="19" t="inlineStr">
        <is>
          <t>Other Required:</t>
        </is>
      </c>
      <c r="E65" s="35" t="inlineStr">
        <is>
          <t>Capture</t>
        </is>
      </c>
      <c r="F65" s="35" t="n"/>
      <c r="G65" s="35" t="n"/>
      <c r="H65" s="35" t="n"/>
      <c r="I65" s="35" t="n"/>
      <c r="J65" s="16" t="n"/>
    </row>
    <row r="66">
      <c r="A66" s="41" t="b">
        <v>1</v>
      </c>
      <c r="B66" s="31" t="inlineStr">
        <is>
          <t>Cap Kingdom: Spin the Hat, Get a Prize</t>
        </is>
      </c>
      <c r="C66" s="35" t="n"/>
      <c r="D66" s="12" t="inlineStr">
        <is>
          <t>Minimum Jump Height:</t>
        </is>
      </c>
      <c r="E66" s="34" t="inlineStr">
        <is>
          <t>Long Jump</t>
        </is>
      </c>
      <c r="F66" s="34" t="n"/>
      <c r="G66" s="34" t="n"/>
      <c r="H66" s="34" t="n"/>
      <c r="I66" s="34" t="n"/>
      <c r="J66" s="16" t="n"/>
    </row>
    <row r="67">
      <c r="B67" s="42" t="n"/>
      <c r="D67" s="12" t="inlineStr">
        <is>
          <t>Cap Throws that work:</t>
        </is>
      </c>
      <c r="E67" s="34" t="inlineStr">
        <is>
          <t>Neutral Throw</t>
        </is>
      </c>
      <c r="F67" s="34" t="n"/>
      <c r="G67" s="34" t="n"/>
      <c r="H67" s="34" t="n"/>
      <c r="I67" s="34" t="n"/>
      <c r="J67" s="16" t="n"/>
    </row>
    <row r="68">
      <c r="A68" s="43" t="n"/>
      <c r="B68" s="44" t="n"/>
      <c r="C68" s="43" t="n"/>
      <c r="D68" s="19" t="inlineStr">
        <is>
          <t>Other Required:</t>
        </is>
      </c>
      <c r="E68" s="35" t="inlineStr">
        <is>
          <t>None</t>
        </is>
      </c>
      <c r="F68" s="35" t="n"/>
      <c r="G68" s="35" t="n"/>
      <c r="H68" s="35" t="n"/>
      <c r="I68" s="35" t="n"/>
      <c r="J68" s="16" t="n"/>
    </row>
    <row r="69">
      <c r="A69" s="41" t="b">
        <v>1</v>
      </c>
      <c r="B69" s="31" t="inlineStr">
        <is>
          <t>Cap Kingdom: Hidden in a Sunken Hat</t>
        </is>
      </c>
      <c r="C69" s="35" t="inlineStr">
        <is>
          <t>Paragoomba</t>
        </is>
      </c>
      <c r="D69" s="12" t="inlineStr">
        <is>
          <t>Minimum Jump Height:</t>
        </is>
      </c>
      <c r="E69" s="34" t="inlineStr">
        <is>
          <t>No Jump Needed</t>
        </is>
      </c>
      <c r="F69" s="34" t="inlineStr">
        <is>
          <t>Long Jump</t>
        </is>
      </c>
      <c r="G69" s="34" t="inlineStr">
        <is>
          <t>No Jump Needed</t>
        </is>
      </c>
      <c r="H69" s="34" t="n"/>
      <c r="I69" s="34" t="n"/>
      <c r="J69" s="16" t="n"/>
    </row>
    <row r="70">
      <c r="B70" s="42" t="n"/>
      <c r="D70" s="12" t="n"/>
      <c r="E70" s="34" t="inlineStr">
        <is>
          <t>Neutral Throw, Up Throw, Down Throw, Spin Throw</t>
        </is>
      </c>
      <c r="F70" s="34" t="inlineStr">
        <is>
          <t>Neutral Throw, Up Throw, Down Throw, Spin Throw</t>
        </is>
      </c>
      <c r="G70" s="34" t="inlineStr">
        <is>
          <t>Neutral Throw</t>
        </is>
      </c>
      <c r="H70" s="34" t="n"/>
      <c r="I70" s="34" t="n"/>
      <c r="J70" s="16" t="n"/>
    </row>
    <row r="71">
      <c r="A71" s="43" t="n"/>
      <c r="B71" s="44" t="n"/>
      <c r="C71" s="43" t="n"/>
      <c r="D71" s="19" t="inlineStr">
        <is>
          <t>Other Required:</t>
        </is>
      </c>
      <c r="E71" s="35" t="inlineStr">
        <is>
          <t>Capture</t>
        </is>
      </c>
      <c r="F71" s="35" t="inlineStr">
        <is>
          <t>Dive</t>
        </is>
      </c>
      <c r="G71" s="35" t="inlineStr">
        <is>
          <t>Roll, Roll Boost</t>
        </is>
      </c>
      <c r="H71" s="35" t="n"/>
      <c r="I71" s="35" t="n"/>
      <c r="J71" s="16" t="n"/>
    </row>
    <row r="72">
      <c r="A72" s="41" t="b">
        <v>1</v>
      </c>
      <c r="B72" s="31" t="inlineStr">
        <is>
          <t>Cap Kingdom: Fog-Shrouded Platform</t>
        </is>
      </c>
      <c r="C72" s="35" t="n"/>
      <c r="D72" s="12" t="inlineStr">
        <is>
          <t>Minimum Jump Height:</t>
        </is>
      </c>
      <c r="E72" s="34" t="inlineStr">
        <is>
          <t>Long Jump</t>
        </is>
      </c>
      <c r="F72" s="34" t="n"/>
      <c r="G72" s="34" t="n"/>
      <c r="H72" s="34" t="n"/>
      <c r="I72" s="34" t="n"/>
      <c r="J72" s="16" t="n"/>
    </row>
    <row r="73">
      <c r="B73" s="42" t="n"/>
      <c r="D73" s="12" t="inlineStr">
        <is>
          <t>Cap Throws that work:</t>
        </is>
      </c>
      <c r="E73" s="34" t="inlineStr">
        <is>
          <t>No Cap Throw Needed</t>
        </is>
      </c>
      <c r="F73" s="34" t="n"/>
      <c r="G73" s="34" t="n"/>
      <c r="H73" s="34" t="n"/>
      <c r="I73" s="34" t="n"/>
      <c r="J73" s="16" t="n"/>
    </row>
    <row r="74">
      <c r="A74" s="43" t="n"/>
      <c r="B74" s="44" t="n"/>
      <c r="C74" s="43" t="n"/>
      <c r="D74" s="19" t="inlineStr">
        <is>
          <t>Other Required:</t>
        </is>
      </c>
      <c r="E74" s="35" t="inlineStr">
        <is>
          <t>Ground Pound</t>
        </is>
      </c>
      <c r="F74" s="35" t="n"/>
      <c r="G74" s="35" t="n"/>
      <c r="H74" s="35" t="n"/>
      <c r="I74" s="35" t="n"/>
      <c r="J74" s="16" t="n"/>
    </row>
    <row r="75">
      <c r="A75" s="41" t="b">
        <v>1</v>
      </c>
      <c r="B75" s="31" t="inlineStr">
        <is>
          <t>Cap Kingdom: Bird Traveling in the Fog</t>
        </is>
      </c>
      <c r="C75" s="35" t="inlineStr">
        <is>
          <t>Paragoomba</t>
        </is>
      </c>
      <c r="D75" s="12" t="inlineStr">
        <is>
          <t>Minimum Jump Height:</t>
        </is>
      </c>
      <c r="E75" s="34" t="inlineStr">
        <is>
          <t>Single Jump (258)</t>
        </is>
      </c>
      <c r="F75" s="34" t="inlineStr">
        <is>
          <t>No Jump Needed</t>
        </is>
      </c>
      <c r="G75" s="34" t="n"/>
      <c r="H75" s="34" t="n"/>
      <c r="I75" s="34" t="n"/>
      <c r="J75" s="16" t="n"/>
    </row>
    <row r="76">
      <c r="B76" s="42" t="n"/>
      <c r="D76" s="12" t="inlineStr">
        <is>
          <t>Cap Throws that work:</t>
        </is>
      </c>
      <c r="E76" s="34" t="inlineStr">
        <is>
          <t>Neutral Throw</t>
        </is>
      </c>
      <c r="F76" s="34" t="inlineStr">
        <is>
          <t>Neutral Throw, Up Throw, Down Throw, Spin Throw</t>
        </is>
      </c>
      <c r="G76" s="34" t="n"/>
      <c r="H76" s="34" t="n"/>
      <c r="I76" s="34" t="n"/>
      <c r="J76" s="16" t="n"/>
    </row>
    <row r="77">
      <c r="A77" s="43" t="n"/>
      <c r="B77" s="44" t="n"/>
      <c r="C77" s="43" t="n"/>
      <c r="D77" s="19" t="inlineStr">
        <is>
          <t>Other Required:</t>
        </is>
      </c>
      <c r="E77" s="35" t="inlineStr">
        <is>
          <t>Dive</t>
        </is>
      </c>
      <c r="F77" s="35" t="inlineStr">
        <is>
          <t>Capture</t>
        </is>
      </c>
      <c r="G77" s="35" t="n"/>
      <c r="H77" s="35" t="n"/>
      <c r="I77" s="35" t="n"/>
      <c r="J77" s="16" t="n"/>
    </row>
    <row r="78">
      <c r="A78" s="41" t="b">
        <v>1</v>
      </c>
      <c r="B78" s="31" t="inlineStr">
        <is>
          <t>Cap Kingdom: Caught Hopping Near the Ship!</t>
        </is>
      </c>
      <c r="C78" s="35" t="n"/>
      <c r="D78" s="12" t="inlineStr">
        <is>
          <t>Minimum Jump Height:</t>
        </is>
      </c>
      <c r="E78" s="34" t="inlineStr">
        <is>
          <t>Long Jump</t>
        </is>
      </c>
      <c r="F78" s="34" t="inlineStr">
        <is>
          <t>No Jump Needed</t>
        </is>
      </c>
      <c r="G78" s="34" t="n"/>
      <c r="H78" s="34" t="n"/>
      <c r="I78" s="34" t="n"/>
      <c r="J78" s="16" t="n"/>
    </row>
    <row r="79">
      <c r="B79" s="42" t="n"/>
      <c r="D79" s="12" t="inlineStr">
        <is>
          <t>Cap Throws that work:</t>
        </is>
      </c>
      <c r="E79" s="34" t="inlineStr">
        <is>
          <t>No Cap Throw Needed</t>
        </is>
      </c>
      <c r="F79" s="34" t="inlineStr">
        <is>
          <t>No Cap Throw Needed</t>
        </is>
      </c>
      <c r="G79" s="34" t="n"/>
      <c r="H79" s="34" t="n"/>
      <c r="I79" s="34" t="n"/>
      <c r="J79" s="16" t="n"/>
    </row>
    <row r="80">
      <c r="A80" s="43" t="n"/>
      <c r="B80" s="44" t="n"/>
      <c r="C80" s="43" t="n"/>
      <c r="D80" s="19" t="inlineStr">
        <is>
          <t>Other Required:</t>
        </is>
      </c>
      <c r="E80" s="35" t="inlineStr">
        <is>
          <t>None</t>
        </is>
      </c>
      <c r="F80" s="35" t="inlineStr">
        <is>
          <t>Roll</t>
        </is>
      </c>
      <c r="G80" s="35" t="n"/>
      <c r="H80" s="35" t="n"/>
      <c r="I80" s="35" t="n"/>
      <c r="J80" s="16" t="n"/>
    </row>
    <row r="81">
      <c r="A81" s="41" t="b">
        <v>1</v>
      </c>
      <c r="B81" s="31" t="inlineStr">
        <is>
          <t>Cap Kingdom: Taking Notes: In the Fog</t>
        </is>
      </c>
      <c r="C81" s="35" t="inlineStr">
        <is>
          <t>Paragoomba</t>
        </is>
      </c>
      <c r="D81" s="12" t="inlineStr">
        <is>
          <t>Minimum Jump Height:</t>
        </is>
      </c>
      <c r="E81" s="34" t="inlineStr">
        <is>
          <t>Long Jump</t>
        </is>
      </c>
      <c r="F81" s="34" t="inlineStr">
        <is>
          <t>No Jump Needed</t>
        </is>
      </c>
      <c r="G81" s="34" t="n"/>
      <c r="H81" s="34" t="n"/>
      <c r="I81" s="34" t="n"/>
      <c r="J81" s="16" t="n"/>
    </row>
    <row r="82">
      <c r="B82" s="42" t="n"/>
      <c r="D82" s="12" t="inlineStr">
        <is>
          <t>Cap Throws that work:</t>
        </is>
      </c>
      <c r="E82" s="34" t="inlineStr">
        <is>
          <t>Neutral Throw, Up Throw, Down Throw, Spin Throw</t>
        </is>
      </c>
      <c r="F82" s="34" t="inlineStr">
        <is>
          <t>No Cap Throw Needed</t>
        </is>
      </c>
      <c r="G82" s="34" t="n"/>
      <c r="H82" s="34" t="n"/>
      <c r="I82" s="34" t="n"/>
      <c r="J82" s="16" t="n"/>
    </row>
    <row r="83">
      <c r="A83" s="43" t="n"/>
      <c r="B83" s="44" t="n"/>
      <c r="C83" s="43" t="n"/>
      <c r="D83" s="19" t="inlineStr">
        <is>
          <t>Other Required:</t>
        </is>
      </c>
      <c r="E83" s="35" t="inlineStr">
        <is>
          <t>Capture</t>
        </is>
      </c>
      <c r="F83" s="35" t="inlineStr">
        <is>
          <t>Capture</t>
        </is>
      </c>
      <c r="G83" s="35" t="n"/>
      <c r="H83" s="35" t="n"/>
      <c r="I83" s="35" t="n"/>
      <c r="J83" s="16" t="n"/>
    </row>
    <row r="84">
      <c r="A84" s="41" t="b">
        <v>1</v>
      </c>
      <c r="B84" s="31" t="inlineStr">
        <is>
          <t>Cap Kingdom: Cap Kingdom Timer Challenge 2</t>
        </is>
      </c>
      <c r="C84" s="35" t="n"/>
      <c r="D84" s="12" t="inlineStr">
        <is>
          <t>Minimum Jump Height:</t>
        </is>
      </c>
      <c r="E84" s="34" t="inlineStr">
        <is>
          <t>Long Jump</t>
        </is>
      </c>
      <c r="F84" s="34" t="n"/>
      <c r="G84" s="34" t="n"/>
      <c r="H84" s="34" t="n"/>
      <c r="I84" s="34" t="n"/>
      <c r="J84" s="16" t="n"/>
    </row>
    <row r="85">
      <c r="B85" s="42" t="n"/>
      <c r="D85" s="12" t="inlineStr">
        <is>
          <t>Cap Throws that work:</t>
        </is>
      </c>
      <c r="E85" s="34" t="inlineStr">
        <is>
          <t>Neutral Throw, Up Throw, Down Throw, Spin Throw</t>
        </is>
      </c>
      <c r="F85" s="34" t="n"/>
      <c r="G85" s="34" t="n"/>
      <c r="H85" s="34" t="n"/>
      <c r="I85" s="34" t="n"/>
      <c r="J85" s="16" t="n"/>
    </row>
    <row r="86">
      <c r="A86" s="43" t="n"/>
      <c r="B86" s="44" t="n"/>
      <c r="C86" s="43" t="n"/>
      <c r="D86" s="19" t="inlineStr">
        <is>
          <t>Other Required:</t>
        </is>
      </c>
      <c r="E86" s="35" t="inlineStr">
        <is>
          <t>None</t>
        </is>
      </c>
      <c r="F86" s="35" t="n"/>
      <c r="G86" s="35" t="n"/>
      <c r="H86" s="35" t="n"/>
      <c r="I86" s="35" t="n"/>
      <c r="J86" s="16" t="n"/>
    </row>
    <row r="87">
      <c r="A87" s="41" t="b">
        <v>1</v>
      </c>
      <c r="B87" s="31" t="inlineStr">
        <is>
          <t>Cap Kingdom: Cap Kingdom Master Cup</t>
        </is>
      </c>
      <c r="C87" s="35" t="n"/>
      <c r="D87" s="12" t="inlineStr">
        <is>
          <t>Minimum Jump Height:</t>
        </is>
      </c>
      <c r="E87" s="34" t="inlineStr">
        <is>
          <t>Long Jump</t>
        </is>
      </c>
      <c r="F87" s="34" t="n"/>
      <c r="G87" s="34" t="n"/>
      <c r="H87" s="34" t="n"/>
      <c r="I87" s="34" t="n"/>
      <c r="J87" s="16" t="n"/>
    </row>
    <row r="88">
      <c r="B88" s="42" t="n"/>
      <c r="D88" s="12" t="inlineStr">
        <is>
          <t>Cap Throws that work:</t>
        </is>
      </c>
      <c r="E88" s="34" t="inlineStr">
        <is>
          <t>No Cap Throw Needed</t>
        </is>
      </c>
      <c r="F88" s="34" t="n"/>
      <c r="G88" s="34" t="n"/>
      <c r="H88" s="34" t="n"/>
      <c r="I88" s="34" t="n"/>
      <c r="J88" s="16" t="n"/>
    </row>
    <row r="89">
      <c r="A89" s="43" t="n"/>
      <c r="B89" s="44" t="n"/>
      <c r="C89" s="43" t="n"/>
      <c r="D89" s="19" t="inlineStr">
        <is>
          <t>Other Required:</t>
        </is>
      </c>
      <c r="E89" s="35" t="inlineStr">
        <is>
          <t>None</t>
        </is>
      </c>
      <c r="F89" s="35" t="n"/>
      <c r="G89" s="35" t="n"/>
      <c r="H89" s="35" t="n"/>
      <c r="I89" s="35" t="n"/>
      <c r="J89" s="16" t="n"/>
    </row>
    <row r="90">
      <c r="A90" s="41" t="b">
        <v>1</v>
      </c>
      <c r="B90" s="31" t="inlineStr">
        <is>
          <t>Precision Rolling: Roll On and On</t>
        </is>
      </c>
      <c r="C90" s="35" t="n"/>
      <c r="D90" s="12" t="inlineStr">
        <is>
          <t>Minimum Jump Height:</t>
        </is>
      </c>
      <c r="E90" s="34" t="inlineStr">
        <is>
          <t>Long Jump</t>
        </is>
      </c>
      <c r="F90" s="34" t="n"/>
      <c r="G90" s="34" t="n"/>
      <c r="H90" s="34" t="n"/>
      <c r="I90" s="34" t="n"/>
      <c r="J90" s="16" t="inlineStr">
        <is>
          <t>IF EXIT SPAWN - Moon is already spawned at exit, only short jump required</t>
        </is>
      </c>
    </row>
    <row r="91">
      <c r="B91" s="42" t="n"/>
      <c r="D91" s="12" t="inlineStr">
        <is>
          <t>Cap Throws that work:</t>
        </is>
      </c>
      <c r="E91" s="34" t="inlineStr">
        <is>
          <t>No Cap Throw Needed</t>
        </is>
      </c>
      <c r="F91" s="34" t="n"/>
      <c r="G91" s="34" t="n"/>
      <c r="H91" s="34" t="n"/>
      <c r="I91" s="34" t="n"/>
      <c r="J91" s="16" t="n"/>
    </row>
    <row r="92">
      <c r="A92" s="43" t="n"/>
      <c r="B92" s="44" t="n"/>
      <c r="C92" s="43" t="n"/>
      <c r="D92" s="19" t="inlineStr">
        <is>
          <t>Other Required:</t>
        </is>
      </c>
      <c r="E92" s="35" t="inlineStr">
        <is>
          <t>Roll, None</t>
        </is>
      </c>
      <c r="F92" s="35" t="n"/>
      <c r="G92" s="35" t="n"/>
      <c r="H92" s="35" t="n"/>
      <c r="I92" s="35" t="n"/>
      <c r="J92" s="16" t="n"/>
    </row>
    <row r="93">
      <c r="A93" s="41" t="b">
        <v>1</v>
      </c>
      <c r="B93" s="31" t="inlineStr">
        <is>
          <t>Precision Rolling: Precision Rolling</t>
        </is>
      </c>
      <c r="C93" s="35" t="n"/>
      <c r="D93" s="12" t="inlineStr">
        <is>
          <t>Minimum Jump Height:</t>
        </is>
      </c>
      <c r="E93" s="34" t="inlineStr">
        <is>
          <t>Long Jump</t>
        </is>
      </c>
      <c r="F93" s="34" t="n"/>
      <c r="G93" s="34" t="n"/>
      <c r="H93" s="34" t="n"/>
      <c r="I93" s="34" t="n"/>
      <c r="J93" s="16" t="n"/>
    </row>
    <row r="94">
      <c r="B94" s="42" t="n"/>
      <c r="D94" s="12" t="inlineStr">
        <is>
          <t>Cap Throws that work:</t>
        </is>
      </c>
      <c r="E94" s="34" t="inlineStr">
        <is>
          <t>No Cap Throw Needed</t>
        </is>
      </c>
      <c r="F94" s="34" t="n"/>
      <c r="G94" s="34" t="n"/>
      <c r="H94" s="34" t="n"/>
      <c r="I94" s="34" t="n"/>
      <c r="J94" s="16" t="n"/>
    </row>
    <row r="95">
      <c r="A95" s="43" t="n"/>
      <c r="B95" s="44" t="n"/>
      <c r="C95" s="43" t="n"/>
      <c r="D95" s="12" t="inlineStr">
        <is>
          <t>Other Required:</t>
        </is>
      </c>
      <c r="E95" s="34" t="inlineStr">
        <is>
          <t>Roll, None</t>
        </is>
      </c>
      <c r="F95" s="34" t="n"/>
      <c r="G95" s="34" t="n"/>
      <c r="H95" s="34" t="n"/>
      <c r="I95" s="34" t="n"/>
      <c r="J95" s="16" t="n"/>
    </row>
    <row r="96">
      <c r="A96" s="45" t="b">
        <v>1</v>
      </c>
      <c r="B96" s="46" t="inlineStr">
        <is>
          <t>Cascade Kingdom: Our First Power Moon</t>
        </is>
      </c>
      <c r="C96" s="47" t="inlineStr">
        <is>
          <t>Chain Chomp</t>
        </is>
      </c>
      <c r="D96" s="26" t="inlineStr">
        <is>
          <t>Minimum Jump Height:</t>
        </is>
      </c>
      <c r="E96" s="27" t="inlineStr">
        <is>
          <t>Long Jump</t>
        </is>
      </c>
      <c r="F96" s="27" t="n"/>
      <c r="G96" s="27" t="n"/>
      <c r="H96" s="27" t="n"/>
      <c r="I96" s="27" t="n"/>
      <c r="J96" s="16" t="n"/>
    </row>
    <row r="97">
      <c r="B97" s="42" t="n"/>
      <c r="D97" s="12" t="inlineStr">
        <is>
          <t>Cap Throws that work:</t>
        </is>
      </c>
      <c r="E97" s="34" t="inlineStr">
        <is>
          <t>Neutral Throw, Up Throw, Down Throw, Spin Throw</t>
        </is>
      </c>
      <c r="F97" s="34" t="n"/>
      <c r="G97" s="34" t="n"/>
      <c r="H97" s="34" t="n"/>
      <c r="I97" s="34" t="n"/>
      <c r="J97" s="16" t="n"/>
    </row>
    <row r="98">
      <c r="A98" s="43" t="n"/>
      <c r="B98" s="44" t="n"/>
      <c r="C98" s="43" t="n"/>
      <c r="D98" s="19" t="inlineStr">
        <is>
          <t>Other Required:</t>
        </is>
      </c>
      <c r="E98" s="35" t="inlineStr">
        <is>
          <t>Capture</t>
        </is>
      </c>
      <c r="F98" s="35" t="n"/>
      <c r="G98" s="35" t="n"/>
      <c r="H98" s="35" t="n"/>
      <c r="I98" s="35" t="n"/>
      <c r="J98" s="16" t="n"/>
    </row>
    <row r="99">
      <c r="A99" s="41" t="b">
        <v>1</v>
      </c>
      <c r="B99" s="31" t="inlineStr">
        <is>
          <t>Cascade Kingdom: Multi Moon Atop the Falls</t>
        </is>
      </c>
      <c r="C99" s="34" t="inlineStr">
        <is>
          <t>Chain Chomp, Broode's Chain Chomp</t>
        </is>
      </c>
      <c r="D99" s="12" t="inlineStr">
        <is>
          <t>Minimum Jump Height:</t>
        </is>
      </c>
      <c r="E99" s="34" t="inlineStr">
        <is>
          <t>No Jump Needed</t>
        </is>
      </c>
      <c r="F99" s="34" t="inlineStr">
        <is>
          <t>No Jump Needed</t>
        </is>
      </c>
      <c r="G99" s="34" t="n"/>
      <c r="H99" s="34" t="n"/>
      <c r="I99" s="34" t="n"/>
      <c r="J99" s="16" t="n"/>
    </row>
    <row r="100">
      <c r="B100" s="42" t="n"/>
      <c r="C100" s="34" t="inlineStr">
        <is>
          <t>T-Rex, Broode's Chain Chomp</t>
        </is>
      </c>
      <c r="D100" s="12" t="inlineStr">
        <is>
          <t>Cap Throws that work:</t>
        </is>
      </c>
      <c r="E100" s="34" t="inlineStr">
        <is>
          <t>Neutral Throw, Up Throw, Down Throw, Spin Throw</t>
        </is>
      </c>
      <c r="F100" s="34" t="inlineStr">
        <is>
          <t>Neutral Throw, Up Throw, Down Throw, Spin Throw</t>
        </is>
      </c>
      <c r="G100" s="34" t="n"/>
      <c r="H100" s="34" t="n"/>
      <c r="I100" s="34" t="n"/>
      <c r="J100" s="16" t="n"/>
    </row>
    <row r="101">
      <c r="A101" s="43" t="n"/>
      <c r="B101" s="44" t="n"/>
      <c r="C101" s="35" t="n"/>
      <c r="D101" s="19" t="inlineStr">
        <is>
          <t>Other Required:</t>
        </is>
      </c>
      <c r="E101" s="35" t="inlineStr">
        <is>
          <t>Capture</t>
        </is>
      </c>
      <c r="F101" s="35" t="inlineStr">
        <is>
          <t>Capture</t>
        </is>
      </c>
      <c r="G101" s="35" t="n"/>
      <c r="H101" s="35" t="n"/>
      <c r="I101" s="35" t="n"/>
      <c r="J101" s="16" t="n"/>
    </row>
    <row r="102">
      <c r="A102" s="41" t="b">
        <v>1</v>
      </c>
      <c r="B102" s="31" t="inlineStr">
        <is>
          <t>Cascade Kingdom: Chomp Through the Rocks</t>
        </is>
      </c>
      <c r="C102" s="34" t="inlineStr">
        <is>
          <t>Chain Chomp</t>
        </is>
      </c>
      <c r="D102" s="12" t="inlineStr">
        <is>
          <t>Minimum Jump Height:</t>
        </is>
      </c>
      <c r="E102" s="34" t="inlineStr">
        <is>
          <t>Long Jump</t>
        </is>
      </c>
      <c r="F102" s="34" t="inlineStr">
        <is>
          <t>No Jump Needed</t>
        </is>
      </c>
      <c r="G102" s="34" t="n"/>
      <c r="H102" s="34" t="n"/>
      <c r="I102" s="34" t="n"/>
      <c r="J102" s="16" t="n"/>
    </row>
    <row r="103">
      <c r="B103" s="42" t="n"/>
      <c r="C103" s="34" t="inlineStr">
        <is>
          <t>T-Rex</t>
        </is>
      </c>
      <c r="D103" s="12" t="inlineStr">
        <is>
          <t>Cap Throws that work:</t>
        </is>
      </c>
      <c r="E103" s="34" t="inlineStr">
        <is>
          <t>Neutral Throw, Up Throw, Down Throw, Spin Throw</t>
        </is>
      </c>
      <c r="F103" s="34" t="inlineStr">
        <is>
          <t>Neutral Throw, Up Throw, Down Throw, Spin Throw</t>
        </is>
      </c>
      <c r="G103" s="34" t="n"/>
      <c r="H103" s="34" t="n"/>
      <c r="I103" s="34" t="n"/>
      <c r="J103" s="16" t="n"/>
    </row>
    <row r="104">
      <c r="A104" s="43" t="n"/>
      <c r="B104" s="44" t="n"/>
      <c r="C104" s="35" t="n"/>
      <c r="D104" s="19" t="inlineStr">
        <is>
          <t>Other Required:</t>
        </is>
      </c>
      <c r="E104" s="35" t="inlineStr">
        <is>
          <t>Capture</t>
        </is>
      </c>
      <c r="F104" s="35" t="inlineStr">
        <is>
          <t>Bonk (Roll), Roll, Capture</t>
        </is>
      </c>
      <c r="G104" s="35" t="n"/>
      <c r="H104" s="35" t="n"/>
      <c r="I104" s="35" t="n"/>
      <c r="J104" s="16" t="n"/>
    </row>
    <row r="105">
      <c r="A105" s="41" t="b">
        <v>1</v>
      </c>
      <c r="B105" s="31" t="inlineStr">
        <is>
          <t>Cascade Kingdom: Behind the Waterfall</t>
        </is>
      </c>
      <c r="C105" s="35" t="n"/>
      <c r="D105" s="12" t="inlineStr">
        <is>
          <t>Minimum Jump Height:</t>
        </is>
      </c>
      <c r="E105" s="34" t="n"/>
      <c r="F105" s="34" t="n"/>
      <c r="G105" s="34" t="n"/>
      <c r="H105" s="34" t="n"/>
      <c r="I105" s="34" t="n"/>
      <c r="J105" s="16" t="n"/>
    </row>
    <row r="106">
      <c r="B106" s="42" t="n"/>
      <c r="D106" s="12" t="inlineStr">
        <is>
          <t>Cap Throws that work:</t>
        </is>
      </c>
      <c r="E106" s="34" t="inlineStr">
        <is>
          <t>No Cap Throw Needed</t>
        </is>
      </c>
      <c r="F106" s="34" t="n"/>
      <c r="G106" s="34" t="n"/>
      <c r="H106" s="34" t="n"/>
      <c r="I106" s="34" t="n"/>
      <c r="J106" s="16" t="n"/>
    </row>
    <row r="107">
      <c r="A107" s="43" t="n"/>
      <c r="B107" s="44" t="n"/>
      <c r="C107" s="43" t="n"/>
      <c r="D107" s="19" t="inlineStr">
        <is>
          <t>Other Required:</t>
        </is>
      </c>
      <c r="E107" s="35" t="n"/>
      <c r="F107" s="35" t="n"/>
      <c r="G107" s="35" t="n"/>
      <c r="H107" s="35" t="n"/>
      <c r="I107" s="35" t="n"/>
      <c r="J107" s="16" t="n"/>
    </row>
    <row r="108">
      <c r="A108" s="41" t="b">
        <v>1</v>
      </c>
      <c r="B108" s="31" t="inlineStr">
        <is>
          <t>Cascade Kingdom: On Top of the Rubble</t>
        </is>
      </c>
      <c r="C108" s="35" t="n"/>
      <c r="D108" s="12" t="inlineStr">
        <is>
          <t>Minimum Jump Height:</t>
        </is>
      </c>
      <c r="E108" s="34" t="inlineStr">
        <is>
          <t>No Jump Needed</t>
        </is>
      </c>
      <c r="F108" s="34" t="n"/>
      <c r="G108" s="34" t="n"/>
      <c r="H108" s="34" t="n"/>
      <c r="I108" s="34" t="n"/>
      <c r="J108" s="16" t="n"/>
    </row>
    <row r="109">
      <c r="B109" s="42" t="n"/>
      <c r="D109" s="12" t="inlineStr">
        <is>
          <t>Cap Throws that work:</t>
        </is>
      </c>
      <c r="E109" s="34" t="inlineStr">
        <is>
          <t>No Cap Throw Needed</t>
        </is>
      </c>
      <c r="F109" s="34" t="n"/>
      <c r="G109" s="34" t="n"/>
      <c r="H109" s="34" t="n"/>
      <c r="I109" s="34" t="n"/>
      <c r="J109" s="16" t="n"/>
    </row>
    <row r="110">
      <c r="A110" s="43" t="n"/>
      <c r="B110" s="44" t="n"/>
      <c r="C110" s="43" t="n"/>
      <c r="D110" s="19" t="inlineStr">
        <is>
          <t>Other Required:</t>
        </is>
      </c>
      <c r="E110" s="35" t="inlineStr">
        <is>
          <t>None</t>
        </is>
      </c>
      <c r="F110" s="35" t="n"/>
      <c r="G110" s="35" t="n"/>
      <c r="H110" s="35" t="n"/>
      <c r="I110" s="35" t="n"/>
      <c r="J110" s="16" t="n"/>
    </row>
    <row r="111">
      <c r="A111" s="41" t="b">
        <v>1</v>
      </c>
      <c r="B111" s="31" t="inlineStr">
        <is>
          <t>Cascade Kingdom: Treasure of the Waterfall Basin</t>
        </is>
      </c>
      <c r="C111" s="35" t="n"/>
      <c r="D111" s="12" t="inlineStr">
        <is>
          <t>Minimum Jump Height:</t>
        </is>
      </c>
      <c r="E111" s="34" t="inlineStr">
        <is>
          <t>Long Jump</t>
        </is>
      </c>
      <c r="F111" s="34" t="inlineStr">
        <is>
          <t>Single Jump (258)</t>
        </is>
      </c>
      <c r="G111" s="34" t="inlineStr">
        <is>
          <t>Long Jump</t>
        </is>
      </c>
      <c r="H111" s="34" t="n"/>
      <c r="I111" s="34" t="n"/>
      <c r="J111" s="16" t="n"/>
    </row>
    <row r="112">
      <c r="B112" s="42" t="n"/>
      <c r="D112" s="12" t="inlineStr">
        <is>
          <t>Cap Throws that work:</t>
        </is>
      </c>
      <c r="E112" s="34" t="inlineStr">
        <is>
          <t>No Cap Throw Needed</t>
        </is>
      </c>
      <c r="F112" s="34" t="inlineStr">
        <is>
          <t>No Cap Throw Needed</t>
        </is>
      </c>
      <c r="G112" s="34" t="inlineStr">
        <is>
          <t>No Cap Throw Needed</t>
        </is>
      </c>
      <c r="H112" s="34" t="n"/>
      <c r="I112" s="34" t="n"/>
      <c r="J112" s="16" t="n"/>
    </row>
    <row r="113">
      <c r="A113" s="43" t="n"/>
      <c r="B113" s="44" t="n"/>
      <c r="C113" s="43" t="n"/>
      <c r="D113" s="19" t="inlineStr">
        <is>
          <t>Other Required:</t>
        </is>
      </c>
      <c r="E113" s="35" t="inlineStr">
        <is>
          <t>None</t>
        </is>
      </c>
      <c r="F113" s="35" t="inlineStr">
        <is>
          <t>Ground Pound</t>
        </is>
      </c>
      <c r="G113" s="35" t="inlineStr">
        <is>
          <t>Roll</t>
        </is>
      </c>
      <c r="H113" s="35" t="n"/>
      <c r="I113" s="35" t="n"/>
      <c r="J113" s="16" t="n"/>
    </row>
    <row r="114">
      <c r="A114" s="41" t="b">
        <v>1</v>
      </c>
      <c r="B114" s="31" t="inlineStr">
        <is>
          <t>Cascade Kingdom: Above a High Cliff</t>
        </is>
      </c>
      <c r="C114" s="35" t="n"/>
      <c r="D114" s="12" t="inlineStr">
        <is>
          <t>Minimum Jump Height:</t>
        </is>
      </c>
      <c r="E114" s="34" t="inlineStr">
        <is>
          <t>Long Jump</t>
        </is>
      </c>
      <c r="F114" s="34" t="inlineStr">
        <is>
          <t>No Jump Needed</t>
        </is>
      </c>
      <c r="G114" s="34" t="n"/>
      <c r="H114" s="34" t="n"/>
      <c r="I114" s="34" t="n"/>
      <c r="J114" s="16" t="n"/>
    </row>
    <row r="115">
      <c r="B115" s="42" t="n"/>
      <c r="D115" s="12" t="inlineStr">
        <is>
          <t>Cap Throws that work:</t>
        </is>
      </c>
      <c r="E115" s="34" t="inlineStr">
        <is>
          <t>No Cap Throw Needed</t>
        </is>
      </c>
      <c r="F115" s="34" t="inlineStr">
        <is>
          <t>No Cap Throw Needed</t>
        </is>
      </c>
      <c r="G115" s="34" t="n"/>
      <c r="H115" s="34" t="n"/>
      <c r="I115" s="34" t="n"/>
      <c r="J115" s="16" t="n"/>
    </row>
    <row r="116">
      <c r="A116" s="43" t="n"/>
      <c r="B116" s="44" t="n"/>
      <c r="C116" s="43" t="n"/>
      <c r="D116" s="19" t="inlineStr">
        <is>
          <t>Other Required:</t>
        </is>
      </c>
      <c r="E116" s="35" t="inlineStr">
        <is>
          <t>None</t>
        </is>
      </c>
      <c r="F116" s="35" t="inlineStr">
        <is>
          <t>Dive</t>
        </is>
      </c>
      <c r="G116" s="35" t="n"/>
      <c r="H116" s="35" t="n"/>
      <c r="I116" s="35" t="n"/>
      <c r="J116" s="16" t="n"/>
    </row>
    <row r="117">
      <c r="A117" s="41" t="b">
        <v>1</v>
      </c>
      <c r="B117" s="31" t="inlineStr">
        <is>
          <t>Cascade Kingdom: Across the Floating Isles</t>
        </is>
      </c>
      <c r="C117" s="35" t="n"/>
      <c r="D117" s="12" t="inlineStr">
        <is>
          <t>Minimum Jump Height:</t>
        </is>
      </c>
      <c r="E117" s="34" t="inlineStr">
        <is>
          <t>Long Jump</t>
        </is>
      </c>
      <c r="F117" s="34" t="inlineStr">
        <is>
          <t>No Jump Needed</t>
        </is>
      </c>
      <c r="G117" s="34" t="n"/>
      <c r="H117" s="34" t="n"/>
      <c r="I117" s="34" t="n"/>
      <c r="J117" s="16" t="n"/>
    </row>
    <row r="118">
      <c r="B118" s="42" t="n"/>
      <c r="D118" s="12" t="inlineStr">
        <is>
          <t>Cap Throws that work:</t>
        </is>
      </c>
      <c r="E118" s="34" t="inlineStr">
        <is>
          <t>No Cap Throw Needed</t>
        </is>
      </c>
      <c r="F118" s="34" t="inlineStr">
        <is>
          <t>Up Throw, Neutral Throw, Down Throw, Spin Throw</t>
        </is>
      </c>
      <c r="G118" s="34" t="n"/>
      <c r="H118" s="34" t="n"/>
      <c r="I118" s="34" t="n"/>
      <c r="J118" s="16" t="n"/>
    </row>
    <row r="119">
      <c r="A119" s="43" t="n"/>
      <c r="B119" s="44" t="n"/>
      <c r="C119" s="43" t="n"/>
      <c r="D119" s="19" t="inlineStr">
        <is>
          <t>Other Required:</t>
        </is>
      </c>
      <c r="E119" s="35" t="inlineStr">
        <is>
          <t>None</t>
        </is>
      </c>
      <c r="F119" s="35" t="inlineStr">
        <is>
          <t>Dive</t>
        </is>
      </c>
      <c r="G119" s="35" t="n"/>
      <c r="H119" s="35" t="n"/>
      <c r="I119" s="35" t="n"/>
      <c r="J119" s="16" t="n"/>
    </row>
    <row r="120">
      <c r="A120" s="41" t="b">
        <v>1</v>
      </c>
      <c r="B120" s="31" t="inlineStr">
        <is>
          <t>Cascade Kingdom: Cascade Kingdom Timer Challenge 1</t>
        </is>
      </c>
      <c r="C120" s="35" t="n"/>
      <c r="D120" s="12" t="inlineStr">
        <is>
          <t>Minimum Jump Height:</t>
        </is>
      </c>
      <c r="E120" s="34" t="inlineStr">
        <is>
          <t>Long Jump</t>
        </is>
      </c>
      <c r="F120" s="34" t="inlineStr">
        <is>
          <t>No Jump Needed</t>
        </is>
      </c>
      <c r="G120" s="34" t="n"/>
      <c r="H120" s="34" t="n"/>
      <c r="I120" s="34" t="n"/>
      <c r="J120" s="16" t="n"/>
    </row>
    <row r="121">
      <c r="B121" s="42" t="n"/>
      <c r="D121" s="12" t="inlineStr">
        <is>
          <t>Cap Throws that work:</t>
        </is>
      </c>
      <c r="E121" s="34" t="inlineStr">
        <is>
          <t>Neutral Throw, Up Throw, Down Throw, Spin Throw</t>
        </is>
      </c>
      <c r="F121" s="34" t="inlineStr">
        <is>
          <t>Neutral Throw, Up Throw, Down Throw, Spin Throw</t>
        </is>
      </c>
      <c r="G121" s="34" t="n"/>
      <c r="H121" s="34" t="n"/>
      <c r="I121" s="34" t="n"/>
      <c r="J121" s="16" t="n"/>
    </row>
    <row r="122">
      <c r="A122" s="43" t="n"/>
      <c r="B122" s="44" t="n"/>
      <c r="C122" s="43" t="n"/>
      <c r="D122" s="19" t="inlineStr">
        <is>
          <t>Other Required:</t>
        </is>
      </c>
      <c r="E122" s="35" t="inlineStr">
        <is>
          <t>None</t>
        </is>
      </c>
      <c r="F122" s="35" t="inlineStr">
        <is>
          <t>Dive</t>
        </is>
      </c>
      <c r="G122" s="35" t="n"/>
      <c r="H122" s="35" t="n"/>
      <c r="I122" s="35" t="n"/>
      <c r="J122" s="16" t="n"/>
    </row>
    <row r="123">
      <c r="A123" s="41" t="b">
        <v>1</v>
      </c>
      <c r="B123" s="31" t="inlineStr">
        <is>
          <t>Cascade Kingdom: Cascade Kingdom Timer Challenge 2</t>
        </is>
      </c>
      <c r="C123" s="35" t="n"/>
      <c r="D123" s="12" t="inlineStr">
        <is>
          <t>Minimum Jump Height:</t>
        </is>
      </c>
      <c r="E123" s="34" t="inlineStr">
        <is>
          <t>Backflip/Vault/Side Flip (496)</t>
        </is>
      </c>
      <c r="F123" s="34" t="inlineStr">
        <is>
          <t>Long Jump</t>
        </is>
      </c>
      <c r="G123" s="34" t="inlineStr">
        <is>
          <t>Long Jump</t>
        </is>
      </c>
      <c r="H123" s="34" t="n"/>
      <c r="I123" s="34" t="n"/>
      <c r="J123" s="16" t="n"/>
    </row>
    <row r="124">
      <c r="B124" s="42" t="n"/>
      <c r="D124" s="12" t="inlineStr">
        <is>
          <t>Cap Throws that work:</t>
        </is>
      </c>
      <c r="E124" s="34" t="inlineStr">
        <is>
          <t>Neutral Throw, Up Throw, Down Throw, Spin Throw</t>
        </is>
      </c>
      <c r="F124" s="34" t="n"/>
      <c r="G124" s="34" t="n"/>
      <c r="H124" s="34" t="n"/>
      <c r="I124" s="34" t="n"/>
      <c r="J124" s="16" t="n"/>
    </row>
    <row r="125">
      <c r="A125" s="43" t="n"/>
      <c r="B125" s="44" t="n"/>
      <c r="C125" s="43" t="n"/>
      <c r="D125" s="19" t="inlineStr">
        <is>
          <t>Other Required:</t>
        </is>
      </c>
      <c r="E125" s="35" t="inlineStr">
        <is>
          <t>None</t>
        </is>
      </c>
      <c r="F125" s="35" t="n"/>
      <c r="G125" s="35" t="n"/>
      <c r="H125" s="35" t="n"/>
      <c r="I125" s="35" t="n"/>
      <c r="J125" s="16" t="n"/>
    </row>
    <row r="126">
      <c r="A126" s="41" t="b">
        <v>1</v>
      </c>
      <c r="B126" s="31" t="inlineStr">
        <is>
          <t>Cascade Kingdom: Good Morning, Captain Toad!</t>
        </is>
      </c>
      <c r="C126" s="35" t="n"/>
      <c r="D126" s="12" t="inlineStr">
        <is>
          <t>Minimum Jump Height:</t>
        </is>
      </c>
      <c r="E126" s="34" t="inlineStr">
        <is>
          <t>No Jump Needed</t>
        </is>
      </c>
      <c r="F126" s="34" t="n"/>
      <c r="G126" s="34" t="n"/>
      <c r="H126" s="34" t="n"/>
      <c r="I126" s="34" t="n"/>
      <c r="J126" s="16" t="n"/>
    </row>
    <row r="127">
      <c r="B127" s="42" t="n"/>
      <c r="D127" s="12" t="inlineStr">
        <is>
          <t>Cap Throws that work:</t>
        </is>
      </c>
      <c r="E127" s="34" t="inlineStr">
        <is>
          <t>Neutral Throw</t>
        </is>
      </c>
      <c r="F127" s="34" t="n"/>
      <c r="G127" s="34" t="n"/>
      <c r="H127" s="34" t="n"/>
      <c r="I127" s="34" t="n"/>
      <c r="J127" s="16" t="n"/>
    </row>
    <row r="128">
      <c r="A128" s="43" t="n"/>
      <c r="B128" s="44" t="n"/>
      <c r="C128" s="43" t="n"/>
      <c r="D128" s="19" t="inlineStr">
        <is>
          <t>Other Required:</t>
        </is>
      </c>
      <c r="E128" s="35" t="inlineStr">
        <is>
          <t>Dive, Capture</t>
        </is>
      </c>
      <c r="F128" s="35" t="n"/>
      <c r="G128" s="35" t="n"/>
      <c r="H128" s="35" t="n"/>
      <c r="I128" s="35" t="n"/>
      <c r="J128" s="16" t="n"/>
    </row>
    <row r="129">
      <c r="A129" s="41" t="b">
        <v>1</v>
      </c>
      <c r="B129" s="31" t="inlineStr">
        <is>
          <t>Dinosaur Nest: Dinosaur Nest: Big Cleanup!</t>
        </is>
      </c>
      <c r="C129" s="35" t="inlineStr">
        <is>
          <t>T-Rex</t>
        </is>
      </c>
      <c r="D129" s="12" t="inlineStr">
        <is>
          <t>Minimum Jump Height:</t>
        </is>
      </c>
      <c r="E129" s="34" t="n"/>
      <c r="F129" s="34" t="n"/>
      <c r="G129" s="34" t="inlineStr">
        <is>
          <t>Long Jump</t>
        </is>
      </c>
      <c r="H129" s="34" t="n"/>
      <c r="I129" s="34" t="n"/>
      <c r="J129" s="16" t="n"/>
    </row>
    <row r="130">
      <c r="B130" s="42" t="n"/>
      <c r="D130" s="12" t="inlineStr">
        <is>
          <t>Cap Throws that work:</t>
        </is>
      </c>
      <c r="E130" s="34" t="inlineStr">
        <is>
          <t>Neutral Throw, Up Throw, Down Throw, Spin Throw</t>
        </is>
      </c>
      <c r="F130" s="34" t="inlineStr">
        <is>
          <t>Neutral Throw, Up Throw, Down Throw, Spin Throw</t>
        </is>
      </c>
      <c r="G130" s="34" t="n"/>
      <c r="H130" s="34" t="n"/>
      <c r="I130" s="34" t="n"/>
      <c r="J130" s="16" t="n"/>
    </row>
    <row r="131">
      <c r="A131" s="43" t="n"/>
      <c r="B131" s="44" t="n"/>
      <c r="C131" s="43" t="n"/>
      <c r="D131" s="19" t="inlineStr">
        <is>
          <t>Other Required:</t>
        </is>
      </c>
      <c r="E131" s="35" t="inlineStr">
        <is>
          <t>Capture</t>
        </is>
      </c>
      <c r="F131" s="35" t="inlineStr">
        <is>
          <t>Capture</t>
        </is>
      </c>
      <c r="G131" s="35" t="n"/>
      <c r="H131" s="35" t="n"/>
      <c r="I131" s="35" t="n"/>
      <c r="J131" s="16" t="n"/>
    </row>
    <row r="132">
      <c r="A132" s="41" t="b">
        <v>1</v>
      </c>
      <c r="B132" s="31" t="inlineStr">
        <is>
          <t>Dinosaur Nest: Dinosaur Nest: Running Wild!</t>
        </is>
      </c>
      <c r="C132" s="35" t="inlineStr">
        <is>
          <t>T-Rex</t>
        </is>
      </c>
      <c r="D132" s="12" t="inlineStr">
        <is>
          <t>Minimum Jump Height:</t>
        </is>
      </c>
      <c r="E132" s="34" t="n"/>
      <c r="F132" s="34" t="n"/>
      <c r="G132" s="34" t="n"/>
      <c r="H132" s="34" t="n"/>
      <c r="I132" s="34" t="n"/>
      <c r="J132" s="16" t="n"/>
    </row>
    <row r="133">
      <c r="B133" s="42" t="n"/>
      <c r="D133" s="12" t="inlineStr">
        <is>
          <t>Cap Throws that work:</t>
        </is>
      </c>
      <c r="E133" s="34" t="inlineStr">
        <is>
          <t>Neutral Throw, Up Throw, Down Throw, Spin Throw</t>
        </is>
      </c>
      <c r="F133" s="34" t="n"/>
      <c r="G133" s="34" t="n"/>
      <c r="H133" s="34" t="n"/>
      <c r="I133" s="34" t="n"/>
      <c r="J133" s="16" t="n"/>
    </row>
    <row r="134">
      <c r="A134" s="43" t="n"/>
      <c r="B134" s="44" t="n"/>
      <c r="C134" s="43" t="n"/>
      <c r="D134" s="19" t="inlineStr">
        <is>
          <t>Other Required:</t>
        </is>
      </c>
      <c r="E134" s="35" t="inlineStr">
        <is>
          <t>Capture</t>
        </is>
      </c>
      <c r="F134" s="35" t="n"/>
      <c r="G134" s="35" t="n"/>
      <c r="H134" s="35" t="n"/>
      <c r="I134" s="35" t="n"/>
      <c r="J134" s="16" t="n"/>
    </row>
    <row r="135">
      <c r="A135" s="41" t="b">
        <v>1</v>
      </c>
      <c r="B135" s="31" t="inlineStr">
        <is>
          <t>Nice Shots with Chain Chomps: Nice Shot with the Chain Chomp!</t>
        </is>
      </c>
      <c r="C135" s="35" t="inlineStr">
        <is>
          <t>Chain Chomp</t>
        </is>
      </c>
      <c r="D135" s="12" t="inlineStr">
        <is>
          <t>Minimum Jump Height:</t>
        </is>
      </c>
      <c r="E135" s="34" t="inlineStr">
        <is>
          <t>Single Jump (258)</t>
        </is>
      </c>
      <c r="F135" s="34" t="n"/>
      <c r="G135" s="34" t="n"/>
      <c r="H135" s="34" t="n"/>
      <c r="I135" s="34" t="n"/>
      <c r="J135" s="16" t="n"/>
    </row>
    <row r="136">
      <c r="B136" s="42" t="n"/>
      <c r="D136" s="12" t="inlineStr">
        <is>
          <t>Cap Throws that work:</t>
        </is>
      </c>
      <c r="E136" s="34" t="inlineStr">
        <is>
          <t>Neutral Throw, Up Throw, Down Throw, Spin Throw</t>
        </is>
      </c>
      <c r="F136" s="34" t="n"/>
      <c r="G136" s="34" t="n"/>
      <c r="H136" s="34" t="n"/>
      <c r="I136" s="34" t="n"/>
      <c r="J136" s="16" t="n"/>
    </row>
    <row r="137">
      <c r="A137" s="43" t="n"/>
      <c r="B137" s="44" t="n"/>
      <c r="C137" s="43" t="n"/>
      <c r="D137" s="19" t="inlineStr">
        <is>
          <t>Other Required:</t>
        </is>
      </c>
      <c r="E137" s="35" t="inlineStr">
        <is>
          <t>Capture</t>
        </is>
      </c>
      <c r="F137" s="35" t="n"/>
      <c r="G137" s="35" t="n"/>
      <c r="H137" s="35" t="n"/>
      <c r="I137" s="35" t="n"/>
      <c r="J137" s="16" t="n"/>
    </row>
    <row r="138">
      <c r="A138" s="41" t="b">
        <v>1</v>
      </c>
      <c r="B138" s="31" t="inlineStr">
        <is>
          <t>Nice Shots with Chain Chomps: Very Nice Shot with the Chain Chomp!</t>
        </is>
      </c>
      <c r="C138" s="35" t="inlineStr">
        <is>
          <t>Chain Chomp</t>
        </is>
      </c>
      <c r="D138" s="12" t="inlineStr">
        <is>
          <t>Minimum Jump Height:</t>
        </is>
      </c>
      <c r="E138" s="34" t="inlineStr">
        <is>
          <t>Single Jump (258)</t>
        </is>
      </c>
      <c r="F138" s="34" t="n"/>
      <c r="G138" s="34" t="n"/>
      <c r="H138" s="34" t="n"/>
      <c r="I138" s="34" t="n"/>
      <c r="J138" s="16" t="inlineStr">
        <is>
          <t>IF EXIT SPAWN: only Chomp capture and low jump required</t>
        </is>
      </c>
    </row>
    <row r="139">
      <c r="B139" s="42" t="n"/>
      <c r="D139" s="12" t="inlineStr">
        <is>
          <t>Cap Throws that work:</t>
        </is>
      </c>
      <c r="E139" s="34" t="inlineStr">
        <is>
          <t>Neutral Throw, Up Throw, Down Throw, Spin Throw</t>
        </is>
      </c>
      <c r="F139" s="34" t="n"/>
      <c r="G139" s="34" t="n"/>
      <c r="H139" s="34" t="n"/>
      <c r="I139" s="34" t="n"/>
      <c r="J139" s="16" t="n"/>
    </row>
    <row r="140">
      <c r="A140" s="43" t="n"/>
      <c r="B140" s="44" t="n"/>
      <c r="C140" s="43" t="n"/>
      <c r="D140" s="19" t="inlineStr">
        <is>
          <t>Other Required:</t>
        </is>
      </c>
      <c r="E140" s="35" t="inlineStr">
        <is>
          <t>Capture</t>
        </is>
      </c>
      <c r="F140" s="35" t="n"/>
      <c r="G140" s="35" t="n"/>
      <c r="H140" s="35" t="n"/>
      <c r="I140" s="35" t="n"/>
      <c r="J140" s="16" t="n"/>
    </row>
    <row r="141">
      <c r="A141" s="41" t="b">
        <v>1</v>
      </c>
      <c r="B141" s="31" t="inlineStr">
        <is>
          <t>8-Bit Chasm Lifts: Past the Chasm Lifts</t>
        </is>
      </c>
      <c r="C141" s="35" t="n"/>
      <c r="D141" s="12" t="inlineStr">
        <is>
          <t>Minimum Jump Height:</t>
        </is>
      </c>
      <c r="E141" s="34" t="inlineStr">
        <is>
          <t>Single Jump (258)</t>
        </is>
      </c>
      <c r="F141" s="34" t="n"/>
      <c r="G141" s="34" t="n"/>
      <c r="H141" s="34" t="n"/>
      <c r="I141" s="34" t="n"/>
      <c r="J141" s="16" t="inlineStr">
        <is>
          <t>IF EXIT SPAWN: Both moons are possible with single jump only</t>
        </is>
      </c>
    </row>
    <row r="142">
      <c r="B142" s="42" t="n"/>
      <c r="D142" s="12" t="inlineStr">
        <is>
          <t>Cap Throws that work:</t>
        </is>
      </c>
      <c r="E142" s="34" t="inlineStr">
        <is>
          <t>Neutral Throw</t>
        </is>
      </c>
      <c r="F142" s="34" t="n"/>
      <c r="G142" s="34" t="n"/>
      <c r="H142" s="34" t="n"/>
      <c r="I142" s="34" t="n"/>
      <c r="J142" s="16" t="n"/>
    </row>
    <row r="143">
      <c r="A143" s="43" t="n"/>
      <c r="B143" s="44" t="n"/>
      <c r="C143" s="43" t="n"/>
      <c r="D143" s="19" t="inlineStr">
        <is>
          <t>Other Required:</t>
        </is>
      </c>
      <c r="E143" s="35" t="inlineStr">
        <is>
          <t>None</t>
        </is>
      </c>
      <c r="F143" s="35" t="n"/>
      <c r="G143" s="35" t="n"/>
      <c r="H143" s="35" t="n"/>
      <c r="I143" s="35" t="n"/>
      <c r="J143" s="16" t="n"/>
    </row>
    <row r="144">
      <c r="A144" s="41" t="b">
        <v>1</v>
      </c>
      <c r="B144" s="31" t="inlineStr">
        <is>
          <t>8-Bit Chasm Lifts: Hidden Chasm Passage</t>
        </is>
      </c>
      <c r="C144" s="35" t="n"/>
      <c r="D144" s="12" t="inlineStr">
        <is>
          <t>Minimum Jump Height:</t>
        </is>
      </c>
      <c r="E144" s="34" t="inlineStr">
        <is>
          <t>Single Jump (258)</t>
        </is>
      </c>
      <c r="F144" s="34" t="n"/>
      <c r="G144" s="34" t="n"/>
      <c r="H144" s="34" t="n"/>
      <c r="I144" s="34" t="n"/>
      <c r="J144" s="16" t="n"/>
    </row>
    <row r="145">
      <c r="B145" s="42" t="n"/>
      <c r="D145" s="12" t="inlineStr">
        <is>
          <t>Cap Throws that work:</t>
        </is>
      </c>
      <c r="E145" s="34" t="inlineStr">
        <is>
          <t>Neutral Throw</t>
        </is>
      </c>
      <c r="F145" s="34" t="n"/>
      <c r="G145" s="34" t="n"/>
      <c r="H145" s="34" t="n"/>
      <c r="I145" s="34" t="n"/>
      <c r="J145" s="16" t="n"/>
    </row>
    <row r="146">
      <c r="A146" s="43" t="n"/>
      <c r="B146" s="44" t="n"/>
      <c r="C146" s="43" t="n"/>
      <c r="D146" s="19" t="inlineStr">
        <is>
          <t>Other Required:</t>
        </is>
      </c>
      <c r="E146" s="35" t="inlineStr">
        <is>
          <t>None</t>
        </is>
      </c>
      <c r="F146" s="35" t="n"/>
      <c r="G146" s="35" t="n"/>
      <c r="H146" s="35" t="n"/>
      <c r="I146" s="35" t="n"/>
      <c r="J146" s="16" t="n"/>
    </row>
    <row r="147">
      <c r="A147" s="41" t="b">
        <v>1</v>
      </c>
      <c r="B147" s="31" t="inlineStr">
        <is>
          <t>Cascade Kingdom: Secret Path to Fossil Falls!</t>
        </is>
      </c>
      <c r="C147" s="35" t="n"/>
      <c r="D147" s="12" t="inlineStr">
        <is>
          <t>Minimum Jump Height:</t>
        </is>
      </c>
      <c r="E147" s="34" t="inlineStr">
        <is>
          <t>Long Jump</t>
        </is>
      </c>
      <c r="F147" s="34" t="n"/>
      <c r="G147" s="34" t="n"/>
      <c r="H147" s="34" t="n"/>
      <c r="I147" s="34" t="n"/>
      <c r="J147" s="16" t="n"/>
    </row>
    <row r="148">
      <c r="B148" s="42" t="n"/>
      <c r="D148" s="12" t="inlineStr">
        <is>
          <t>Cap Throws that work:</t>
        </is>
      </c>
      <c r="E148" s="34" t="inlineStr">
        <is>
          <t>No Cap Throw Needed</t>
        </is>
      </c>
      <c r="F148" s="34" t="n"/>
      <c r="G148" s="34" t="n"/>
      <c r="H148" s="34" t="n"/>
      <c r="I148" s="34" t="n"/>
      <c r="J148" s="16" t="n"/>
    </row>
    <row r="149">
      <c r="A149" s="43" t="n"/>
      <c r="B149" s="44" t="n"/>
      <c r="C149" s="43" t="n"/>
      <c r="D149" s="19" t="inlineStr">
        <is>
          <t>Other Required:</t>
        </is>
      </c>
      <c r="E149" s="35" t="n"/>
      <c r="F149" s="35" t="n"/>
      <c r="G149" s="35" t="n"/>
      <c r="H149" s="35" t="n"/>
      <c r="I149" s="35" t="n"/>
      <c r="J149" s="16" t="n"/>
    </row>
    <row r="150">
      <c r="A150" s="41" t="b">
        <v>1</v>
      </c>
      <c r="B150" s="31" t="inlineStr">
        <is>
          <t>Cascade Kingdom: A Tourist in the Cascade Kingdom</t>
        </is>
      </c>
      <c r="C150" s="35" t="n"/>
      <c r="D150" s="12" t="inlineStr">
        <is>
          <t>Minimum Jump Height:</t>
        </is>
      </c>
      <c r="E150" s="34" t="inlineStr">
        <is>
          <t>No Jump Needed</t>
        </is>
      </c>
      <c r="F150" s="34" t="n"/>
      <c r="G150" s="34" t="n"/>
      <c r="H150" s="34" t="n"/>
      <c r="I150" s="34" t="n"/>
      <c r="J150" s="16" t="n"/>
    </row>
    <row r="151">
      <c r="B151" s="42" t="n"/>
      <c r="D151" s="12" t="inlineStr">
        <is>
          <t>Cap Throws that work:</t>
        </is>
      </c>
      <c r="E151" s="34" t="inlineStr">
        <is>
          <t>No Cap Throw Needed</t>
        </is>
      </c>
      <c r="F151" s="34" t="n"/>
      <c r="G151" s="34" t="n"/>
      <c r="H151" s="34" t="n"/>
      <c r="I151" s="34" t="n"/>
      <c r="J151" s="16" t="n"/>
    </row>
    <row r="152">
      <c r="A152" s="43" t="n"/>
      <c r="B152" s="44" t="n"/>
      <c r="C152" s="43" t="n"/>
      <c r="D152" s="19" t="inlineStr">
        <is>
          <t>Other Required:</t>
        </is>
      </c>
      <c r="E152" s="35" t="n"/>
      <c r="F152" s="35" t="n"/>
      <c r="G152" s="35" t="n"/>
      <c r="H152" s="35" t="n"/>
      <c r="I152" s="35" t="n"/>
      <c r="J152" s="16" t="n"/>
    </row>
    <row r="153">
      <c r="A153" s="41" t="b">
        <v>1</v>
      </c>
      <c r="B153" s="31" t="inlineStr">
        <is>
          <t>Cascade Kingdom: Rolling Rock by the Falls</t>
        </is>
      </c>
      <c r="C153" s="35" t="n"/>
      <c r="D153" s="12" t="inlineStr">
        <is>
          <t>Minimum Jump Height:</t>
        </is>
      </c>
      <c r="E153" s="34" t="inlineStr">
        <is>
          <t>No Jump Needed</t>
        </is>
      </c>
      <c r="F153" s="34" t="n"/>
      <c r="G153" s="34" t="n"/>
      <c r="H153" s="34" t="n"/>
      <c r="I153" s="34" t="n"/>
      <c r="J153" s="16" t="n"/>
    </row>
    <row r="154">
      <c r="B154" s="42" t="n"/>
      <c r="D154" s="12" t="inlineStr">
        <is>
          <t>Cap Throws that work:</t>
        </is>
      </c>
      <c r="E154" s="34" t="inlineStr">
        <is>
          <t>No Cap Throw Needed</t>
        </is>
      </c>
      <c r="F154" s="34" t="n"/>
      <c r="G154" s="34" t="n"/>
      <c r="H154" s="34" t="n"/>
      <c r="I154" s="34" t="n"/>
      <c r="J154" s="16" t="n"/>
    </row>
    <row r="155">
      <c r="A155" s="43" t="n"/>
      <c r="B155" s="44" t="n"/>
      <c r="C155" s="43" t="n"/>
      <c r="D155" s="19" t="inlineStr">
        <is>
          <t>Other Required:</t>
        </is>
      </c>
      <c r="E155" s="35" t="inlineStr">
        <is>
          <t>None</t>
        </is>
      </c>
      <c r="F155" s="35" t="n"/>
      <c r="G155" s="35" t="n"/>
      <c r="H155" s="35" t="n"/>
      <c r="I155" s="35" t="n"/>
      <c r="J155" s="16" t="n"/>
    </row>
    <row r="156">
      <c r="A156" s="41" t="b">
        <v>1</v>
      </c>
      <c r="B156" s="31" t="inlineStr">
        <is>
          <t>Cascade Kingdom: Peach in the Cascade Kingdom</t>
        </is>
      </c>
      <c r="C156" s="35" t="n"/>
      <c r="D156" s="12" t="inlineStr">
        <is>
          <t>Minimum Jump Height:</t>
        </is>
      </c>
      <c r="E156" s="34" t="inlineStr">
        <is>
          <t>Long Jump</t>
        </is>
      </c>
      <c r="F156" s="34" t="n"/>
      <c r="G156" s="34" t="n"/>
      <c r="H156" s="34" t="n"/>
      <c r="I156" s="34" t="n"/>
      <c r="J156" s="16" t="n"/>
    </row>
    <row r="157">
      <c r="B157" s="42" t="n"/>
      <c r="D157" s="12" t="inlineStr">
        <is>
          <t>Cap Throws that work:</t>
        </is>
      </c>
      <c r="E157" s="34" t="inlineStr">
        <is>
          <t>Neutral Throw, Up Throw, Down Throw, Spin Throw</t>
        </is>
      </c>
      <c r="F157" s="34" t="n"/>
      <c r="G157" s="34" t="n"/>
      <c r="H157" s="34" t="n"/>
      <c r="I157" s="34" t="n"/>
      <c r="J157" s="16" t="n"/>
    </row>
    <row r="158">
      <c r="A158" s="43" t="n"/>
      <c r="B158" s="44" t="n"/>
      <c r="C158" s="43" t="n"/>
      <c r="D158" s="19" t="inlineStr">
        <is>
          <t>Other Required:</t>
        </is>
      </c>
      <c r="E158" s="35" t="n"/>
      <c r="F158" s="35" t="n"/>
      <c r="G158" s="35" t="n"/>
      <c r="H158" s="35" t="n"/>
      <c r="I158" s="35" t="n"/>
      <c r="J158" s="16" t="n"/>
    </row>
    <row r="159">
      <c r="A159" s="41" t="b">
        <v>1</v>
      </c>
      <c r="B159" s="31" t="inlineStr">
        <is>
          <t>Cascade Kingdom: Cascade Kingdom Regular Cup</t>
        </is>
      </c>
      <c r="C159" s="35" t="n"/>
      <c r="D159" s="12" t="inlineStr">
        <is>
          <t>Minimum Jump Height:</t>
        </is>
      </c>
      <c r="E159" s="34" t="inlineStr">
        <is>
          <t>Long Jump</t>
        </is>
      </c>
      <c r="F159" s="34" t="n"/>
      <c r="G159" s="34" t="n"/>
      <c r="H159" s="34" t="n"/>
      <c r="I159" s="34" t="n"/>
      <c r="J159" s="16" t="n"/>
    </row>
    <row r="160">
      <c r="B160" s="42" t="n"/>
      <c r="D160" s="12" t="inlineStr">
        <is>
          <t>Cap Throws that work:</t>
        </is>
      </c>
      <c r="E160" s="34" t="inlineStr">
        <is>
          <t>No Cap Throw Needed</t>
        </is>
      </c>
      <c r="F160" s="34" t="n"/>
      <c r="G160" s="34" t="n"/>
      <c r="H160" s="34" t="n"/>
      <c r="I160" s="34" t="n"/>
      <c r="J160" s="16" t="n"/>
    </row>
    <row r="161">
      <c r="A161" s="43" t="n"/>
      <c r="B161" s="44" t="n"/>
      <c r="C161" s="43" t="n"/>
      <c r="D161" s="19" t="inlineStr">
        <is>
          <t>Other Required:</t>
        </is>
      </c>
      <c r="E161" s="35" t="inlineStr">
        <is>
          <t>None</t>
        </is>
      </c>
      <c r="F161" s="35" t="n"/>
      <c r="G161" s="35" t="n"/>
      <c r="H161" s="35" t="n"/>
      <c r="I161" s="35" t="n"/>
      <c r="J161" s="16" t="n"/>
    </row>
    <row r="162">
      <c r="A162" s="41" t="b">
        <v>1</v>
      </c>
      <c r="B162" s="31" t="inlineStr">
        <is>
          <t>Cascade Kingdom: Caveman Cave-Fan</t>
        </is>
      </c>
      <c r="C162" s="35" t="n"/>
      <c r="D162" s="12" t="inlineStr">
        <is>
          <t>Minimum Jump Height:</t>
        </is>
      </c>
      <c r="E162" s="34" t="inlineStr">
        <is>
          <t>Single Jump (258)</t>
        </is>
      </c>
      <c r="F162" s="34" t="n"/>
      <c r="G162" s="34" t="n"/>
      <c r="H162" s="34" t="n"/>
      <c r="I162" s="34" t="n"/>
      <c r="J162" s="16" t="n"/>
    </row>
    <row r="163">
      <c r="B163" s="42" t="n"/>
      <c r="D163" s="12" t="inlineStr">
        <is>
          <t>Cap Throws that work:</t>
        </is>
      </c>
      <c r="E163" s="34" t="inlineStr">
        <is>
          <t>No Cap Throw Needed</t>
        </is>
      </c>
      <c r="F163" s="34" t="n"/>
      <c r="G163" s="34" t="n"/>
      <c r="H163" s="34" t="n"/>
      <c r="I163" s="34" t="n"/>
      <c r="J163" s="16" t="n"/>
    </row>
    <row r="164">
      <c r="A164" s="43" t="n"/>
      <c r="B164" s="44" t="n"/>
      <c r="C164" s="43" t="n"/>
      <c r="D164" s="19" t="inlineStr">
        <is>
          <t>Other Required:</t>
        </is>
      </c>
      <c r="E164" s="35" t="n"/>
      <c r="F164" s="35" t="n"/>
      <c r="G164" s="35" t="n"/>
      <c r="H164" s="35" t="n"/>
      <c r="I164" s="35" t="n"/>
      <c r="J164" s="16" t="n"/>
    </row>
    <row r="165">
      <c r="A165" s="41" t="b">
        <v>1</v>
      </c>
      <c r="B165" s="31" t="inlineStr">
        <is>
          <t>Cascade Kingdom: Shopping in Fossil Falls</t>
        </is>
      </c>
      <c r="C165" s="35" t="n"/>
      <c r="D165" s="12" t="inlineStr">
        <is>
          <t>Minimum Jump Height:</t>
        </is>
      </c>
      <c r="E165" s="34" t="inlineStr">
        <is>
          <t>No Jump Needed</t>
        </is>
      </c>
      <c r="F165" s="34" t="n"/>
      <c r="G165" s="34" t="n"/>
      <c r="H165" s="34" t="n"/>
      <c r="I165" s="34" t="n"/>
      <c r="J165" s="16" t="n"/>
    </row>
    <row r="166">
      <c r="B166" s="42" t="n"/>
      <c r="D166" s="12" t="inlineStr">
        <is>
          <t>Cap Throws that work:</t>
        </is>
      </c>
      <c r="E166" s="34" t="inlineStr">
        <is>
          <t>No Cap Throw Needed</t>
        </is>
      </c>
      <c r="F166" s="34" t="n"/>
      <c r="G166" s="34" t="n"/>
      <c r="H166" s="34" t="n"/>
      <c r="I166" s="34" t="n"/>
      <c r="J166" s="16" t="n"/>
    </row>
    <row r="167">
      <c r="A167" s="43" t="n"/>
      <c r="B167" s="44" t="n"/>
      <c r="C167" s="43" t="n"/>
      <c r="D167" s="19" t="inlineStr">
        <is>
          <t>Other Required:</t>
        </is>
      </c>
      <c r="E167" s="35" t="inlineStr">
        <is>
          <t>None</t>
        </is>
      </c>
      <c r="F167" s="35" t="n"/>
      <c r="G167" s="35" t="n"/>
      <c r="H167" s="35" t="n"/>
      <c r="I167" s="35" t="n"/>
      <c r="J167" s="16" t="n"/>
    </row>
    <row r="168">
      <c r="A168" s="41" t="b">
        <v>1</v>
      </c>
      <c r="B168" s="31" t="inlineStr">
        <is>
          <t>Cascade Kingdom: Sphynx Traveling to the Waterfall</t>
        </is>
      </c>
      <c r="C168" s="35" t="inlineStr">
        <is>
          <t>Binoculars</t>
        </is>
      </c>
      <c r="D168" s="12" t="inlineStr">
        <is>
          <t>Minimum Jump Height:</t>
        </is>
      </c>
      <c r="E168" s="34" t="inlineStr">
        <is>
          <t>No Jump Needed</t>
        </is>
      </c>
      <c r="F168" s="34" t="n"/>
      <c r="G168" s="34" t="n"/>
      <c r="H168" s="34" t="n"/>
      <c r="I168" s="34" t="n"/>
      <c r="J168" s="16" t="n"/>
    </row>
    <row r="169">
      <c r="B169" s="42" t="n"/>
      <c r="D169" s="12" t="inlineStr">
        <is>
          <t>Cap Throws that work:</t>
        </is>
      </c>
      <c r="E169" s="34" t="inlineStr">
        <is>
          <t>Neutral Throw, Up Throw, Down Throw, Spin Throw</t>
        </is>
      </c>
      <c r="F169" s="34" t="n"/>
      <c r="G169" s="34" t="n"/>
      <c r="H169" s="34" t="n"/>
      <c r="I169" s="34" t="n"/>
      <c r="J169" s="16" t="n"/>
    </row>
    <row r="170">
      <c r="A170" s="43" t="n"/>
      <c r="B170" s="44" t="n"/>
      <c r="C170" s="43" t="n"/>
      <c r="D170" s="19" t="inlineStr">
        <is>
          <t>Other Required:</t>
        </is>
      </c>
      <c r="E170" s="35" t="inlineStr">
        <is>
          <t>Capture</t>
        </is>
      </c>
      <c r="F170" s="35" t="n"/>
      <c r="G170" s="35" t="n"/>
      <c r="H170" s="35" t="n"/>
      <c r="I170" s="35" t="n"/>
      <c r="J170" s="16" t="n"/>
    </row>
    <row r="171">
      <c r="A171" s="41" t="b">
        <v>1</v>
      </c>
      <c r="B171" s="31" t="inlineStr">
        <is>
          <t>Cascade Kingdom: Bottom of the Waterfall Basin</t>
        </is>
      </c>
      <c r="C171" s="35" t="n"/>
      <c r="D171" s="12" t="inlineStr">
        <is>
          <t>Minimum Jump Height:</t>
        </is>
      </c>
      <c r="E171" s="34" t="inlineStr">
        <is>
          <t>No Jump Needed</t>
        </is>
      </c>
      <c r="F171" s="34" t="n"/>
      <c r="G171" s="34" t="n"/>
      <c r="H171" s="34" t="n"/>
      <c r="I171" s="34" t="n"/>
      <c r="J171" s="16" t="n"/>
    </row>
    <row r="172">
      <c r="B172" s="42" t="n"/>
      <c r="D172" s="12" t="inlineStr">
        <is>
          <t>Cap Throws that work:</t>
        </is>
      </c>
      <c r="E172" s="34" t="inlineStr">
        <is>
          <t>No Cap Throw Needed</t>
        </is>
      </c>
      <c r="F172" s="34" t="n"/>
      <c r="G172" s="34" t="n"/>
      <c r="H172" s="34" t="n"/>
      <c r="I172" s="34" t="n"/>
      <c r="J172" s="16" t="n"/>
    </row>
    <row r="173">
      <c r="A173" s="43" t="n"/>
      <c r="B173" s="44" t="n"/>
      <c r="C173" s="43" t="n"/>
      <c r="D173" s="19" t="inlineStr">
        <is>
          <t>Other Required:</t>
        </is>
      </c>
      <c r="E173" s="35" t="inlineStr">
        <is>
          <t>Ground Pound</t>
        </is>
      </c>
      <c r="F173" s="35" t="n"/>
      <c r="G173" s="35" t="n"/>
      <c r="H173" s="35" t="n"/>
      <c r="I173" s="35" t="n"/>
      <c r="J173" s="16" t="n"/>
    </row>
    <row r="174">
      <c r="A174" s="41" t="b">
        <v>1</v>
      </c>
      <c r="B174" s="31" t="inlineStr">
        <is>
          <t>Cascade Kingdom: Just a Hat, Skip, and a Jump</t>
        </is>
      </c>
      <c r="C174" s="35" t="n"/>
      <c r="D174" s="12" t="inlineStr">
        <is>
          <t>Minimum Jump Height:</t>
        </is>
      </c>
      <c r="E174" s="34" t="inlineStr">
        <is>
          <t>Long Jump</t>
        </is>
      </c>
      <c r="F174" s="34" t="n"/>
      <c r="G174" s="34" t="n"/>
      <c r="H174" s="34" t="n"/>
      <c r="I174" s="34" t="n"/>
      <c r="J174" s="16" t="n"/>
    </row>
    <row r="175">
      <c r="B175" s="42" t="n"/>
      <c r="D175" s="12" t="inlineStr">
        <is>
          <t>Cap Throws that work:</t>
        </is>
      </c>
      <c r="E175" s="34" t="inlineStr">
        <is>
          <t>Neutral Throw, Up Throw, Down Throw, Spin Throw</t>
        </is>
      </c>
      <c r="F175" s="34" t="n"/>
      <c r="G175" s="34" t="n"/>
      <c r="H175" s="34" t="n"/>
      <c r="I175" s="34" t="n"/>
      <c r="J175" s="16" t="n"/>
    </row>
    <row r="176">
      <c r="A176" s="43" t="n"/>
      <c r="B176" s="44" t="n"/>
      <c r="C176" s="43" t="n"/>
      <c r="D176" s="19" t="inlineStr">
        <is>
          <t>Other Required:</t>
        </is>
      </c>
      <c r="E176" s="35" t="inlineStr">
        <is>
          <t>None</t>
        </is>
      </c>
      <c r="F176" s="35" t="n"/>
      <c r="G176" s="35" t="n"/>
      <c r="H176" s="35" t="n"/>
      <c r="I176" s="35" t="n"/>
      <c r="J176" s="16" t="n"/>
    </row>
    <row r="177">
      <c r="A177" s="41" t="b">
        <v>1</v>
      </c>
      <c r="B177" s="31" t="inlineStr">
        <is>
          <t>Cascade Kingdom: Treasure Under the Cliff</t>
        </is>
      </c>
      <c r="C177" s="35" t="n"/>
      <c r="D177" s="12" t="inlineStr">
        <is>
          <t>Minimum Jump Height:</t>
        </is>
      </c>
      <c r="E177" s="34" t="inlineStr">
        <is>
          <t>Single Jump (258)</t>
        </is>
      </c>
      <c r="F177" s="34" t="n"/>
      <c r="G177" s="34" t="n"/>
      <c r="H177" s="34" t="n"/>
      <c r="I177" s="34" t="n"/>
      <c r="J177" s="16" t="n"/>
    </row>
    <row r="178">
      <c r="B178" s="42" t="n"/>
      <c r="D178" s="12" t="inlineStr">
        <is>
          <t>Cap Throws that work:</t>
        </is>
      </c>
      <c r="E178" s="34" t="inlineStr">
        <is>
          <t>Neutral Throw, Up Throw, Down Throw, Spin Throw</t>
        </is>
      </c>
      <c r="F178" s="34" t="n"/>
      <c r="G178" s="34" t="n"/>
      <c r="H178" s="34" t="n"/>
      <c r="I178" s="34" t="n"/>
      <c r="J178" s="16" t="n"/>
    </row>
    <row r="179">
      <c r="A179" s="43" t="n"/>
      <c r="B179" s="44" t="n"/>
      <c r="C179" s="43" t="n"/>
      <c r="D179" s="19" t="inlineStr">
        <is>
          <t>Other Required:</t>
        </is>
      </c>
      <c r="E179" s="35" t="inlineStr">
        <is>
          <t>None</t>
        </is>
      </c>
      <c r="F179" s="35" t="n"/>
      <c r="G179" s="35" t="n"/>
      <c r="H179" s="35" t="n"/>
      <c r="I179" s="35" t="n"/>
      <c r="J179" s="16" t="n"/>
    </row>
    <row r="180">
      <c r="A180" s="41" t="b">
        <v>1</v>
      </c>
      <c r="B180" s="31" t="inlineStr">
        <is>
          <t>Cascade Kingdom: Next to the Stone Arch</t>
        </is>
      </c>
      <c r="C180" s="35" t="n"/>
      <c r="D180" s="12" t="inlineStr">
        <is>
          <t>Minimum Jump Height:</t>
        </is>
      </c>
      <c r="E180" s="34" t="inlineStr">
        <is>
          <t>Single Jump (258)</t>
        </is>
      </c>
      <c r="F180" s="34" t="n"/>
      <c r="G180" s="34" t="n"/>
      <c r="H180" s="34" t="n"/>
      <c r="I180" s="34" t="n"/>
      <c r="J180" s="16" t="n"/>
    </row>
    <row r="181">
      <c r="B181" s="42" t="n"/>
      <c r="D181" s="12" t="inlineStr">
        <is>
          <t>Cap Throws that work:</t>
        </is>
      </c>
      <c r="E181" s="34" t="inlineStr">
        <is>
          <t>No Cap Throw Needed</t>
        </is>
      </c>
      <c r="F181" s="34" t="n"/>
      <c r="G181" s="34" t="n"/>
      <c r="H181" s="34" t="n"/>
      <c r="I181" s="34" t="n"/>
      <c r="J181" s="16" t="n"/>
    </row>
    <row r="182">
      <c r="A182" s="43" t="n"/>
      <c r="B182" s="44" t="n"/>
      <c r="C182" s="43" t="n"/>
      <c r="D182" s="19" t="inlineStr">
        <is>
          <t>Other Required:</t>
        </is>
      </c>
      <c r="E182" s="35" t="inlineStr">
        <is>
          <t>None</t>
        </is>
      </c>
      <c r="F182" s="35" t="n"/>
      <c r="G182" s="35" t="n"/>
      <c r="H182" s="35" t="n"/>
      <c r="I182" s="35" t="n"/>
      <c r="J182" s="16" t="n"/>
    </row>
    <row r="183">
      <c r="A183" s="41" t="b">
        <v>1</v>
      </c>
      <c r="B183" s="31" t="inlineStr">
        <is>
          <t>Cascade Kingdom: Guarded by a Colossal Fossil</t>
        </is>
      </c>
      <c r="C183" s="35" t="n"/>
      <c r="D183" s="12" t="inlineStr">
        <is>
          <t>Minimum Jump Height:</t>
        </is>
      </c>
      <c r="E183" s="34" t="inlineStr">
        <is>
          <t>Single Jump (258)</t>
        </is>
      </c>
      <c r="F183" s="34" t="n"/>
      <c r="G183" s="34" t="n"/>
      <c r="H183" s="34" t="n"/>
      <c r="I183" s="34" t="n"/>
      <c r="J183" s="16" t="n"/>
    </row>
    <row r="184">
      <c r="B184" s="42" t="n"/>
      <c r="D184" s="12" t="inlineStr">
        <is>
          <t>Cap Throws that work:</t>
        </is>
      </c>
      <c r="E184" s="34" t="inlineStr">
        <is>
          <t>Neutral Throw, Down Throw, Spin Throw</t>
        </is>
      </c>
      <c r="F184" s="34" t="n"/>
      <c r="G184" s="34" t="n"/>
      <c r="H184" s="34" t="n"/>
      <c r="I184" s="34" t="n"/>
      <c r="J184" s="16" t="n"/>
    </row>
    <row r="185">
      <c r="A185" s="43" t="n"/>
      <c r="B185" s="44" t="n"/>
      <c r="C185" s="43" t="n"/>
      <c r="D185" s="19" t="inlineStr">
        <is>
          <t>Other Required:</t>
        </is>
      </c>
      <c r="E185" s="35" t="inlineStr">
        <is>
          <t>None</t>
        </is>
      </c>
      <c r="F185" s="35" t="n"/>
      <c r="G185" s="35" t="n"/>
      <c r="H185" s="35" t="n"/>
      <c r="I185" s="35" t="n"/>
      <c r="J185" s="16" t="n"/>
    </row>
    <row r="186">
      <c r="A186" s="41" t="b">
        <v>1</v>
      </c>
      <c r="B186" s="31" t="inlineStr">
        <is>
          <t>Cascade Kingdom: Under the Old Electrical Pole</t>
        </is>
      </c>
      <c r="C186" s="35" t="inlineStr">
        <is>
          <t>T-Rex</t>
        </is>
      </c>
      <c r="D186" s="12" t="inlineStr">
        <is>
          <t>Minimum Jump Height:</t>
        </is>
      </c>
      <c r="E186" s="34" t="inlineStr">
        <is>
          <t>Single Jump (258)</t>
        </is>
      </c>
      <c r="F186" s="34" t="n"/>
      <c r="G186" s="34" t="n"/>
      <c r="H186" s="34" t="n"/>
      <c r="I186" s="34" t="n"/>
      <c r="J186" s="16" t="n"/>
    </row>
    <row r="187">
      <c r="B187" s="42" t="n"/>
      <c r="D187" s="12" t="inlineStr">
        <is>
          <t>Cap Throws that work:</t>
        </is>
      </c>
      <c r="E187" s="34" t="inlineStr">
        <is>
          <t>No Cap Throw Needed</t>
        </is>
      </c>
      <c r="F187" s="34" t="n"/>
      <c r="G187" s="34" t="n"/>
      <c r="H187" s="34" t="n"/>
      <c r="I187" s="34" t="n"/>
      <c r="J187" s="16" t="n"/>
    </row>
    <row r="188">
      <c r="A188" s="43" t="n"/>
      <c r="B188" s="44" t="n"/>
      <c r="C188" s="43" t="n"/>
      <c r="D188" s="19" t="inlineStr">
        <is>
          <t>Other Required:</t>
        </is>
      </c>
      <c r="E188" s="35" t="inlineStr">
        <is>
          <t>Capture, Ground Pound</t>
        </is>
      </c>
      <c r="F188" s="35" t="n"/>
      <c r="G188" s="35" t="n"/>
      <c r="H188" s="35" t="n"/>
      <c r="I188" s="35" t="n"/>
      <c r="J188" s="16" t="n"/>
    </row>
    <row r="189">
      <c r="A189" s="41" t="b">
        <v>1</v>
      </c>
      <c r="B189" s="31" t="inlineStr">
        <is>
          <t>Cascade Kingdom: Under the Ground</t>
        </is>
      </c>
      <c r="C189" s="35" t="inlineStr">
        <is>
          <t>T-Rex</t>
        </is>
      </c>
      <c r="D189" s="12" t="inlineStr">
        <is>
          <t>Minimum Jump Height:</t>
        </is>
      </c>
      <c r="E189" s="34" t="inlineStr">
        <is>
          <t>Single Jump (258)</t>
        </is>
      </c>
      <c r="F189" s="34" t="n"/>
      <c r="G189" s="34" t="n"/>
      <c r="H189" s="34" t="n"/>
      <c r="I189" s="34" t="n"/>
      <c r="J189" s="16" t="n"/>
    </row>
    <row r="190">
      <c r="B190" s="42" t="n"/>
      <c r="D190" s="12" t="inlineStr">
        <is>
          <t>Cap Throws that work:</t>
        </is>
      </c>
      <c r="E190" s="34" t="inlineStr">
        <is>
          <t>No Cap Throw Needed</t>
        </is>
      </c>
      <c r="F190" s="34" t="n"/>
      <c r="G190" s="34" t="n"/>
      <c r="H190" s="34" t="n"/>
      <c r="I190" s="34" t="n"/>
      <c r="J190" s="16" t="n"/>
    </row>
    <row r="191">
      <c r="A191" s="43" t="n"/>
      <c r="B191" s="44" t="n"/>
      <c r="C191" s="43" t="n"/>
      <c r="D191" s="19" t="inlineStr">
        <is>
          <t>Other Required:</t>
        </is>
      </c>
      <c r="E191" s="35" t="inlineStr">
        <is>
          <t>Capture, Ground Pound</t>
        </is>
      </c>
      <c r="F191" s="35" t="n"/>
      <c r="G191" s="35" t="n"/>
      <c r="H191" s="35" t="n"/>
      <c r="I191" s="35" t="n"/>
      <c r="J191" s="16" t="n"/>
    </row>
    <row r="192">
      <c r="A192" s="41" t="b">
        <v>1</v>
      </c>
      <c r="B192" s="31" t="inlineStr">
        <is>
          <t>Cascade Kingdom: Inside the Busted Fossil</t>
        </is>
      </c>
      <c r="C192" s="35" t="inlineStr">
        <is>
          <t>Chain Chomp</t>
        </is>
      </c>
      <c r="D192" s="12" t="inlineStr">
        <is>
          <t>Minimum Jump Height:</t>
        </is>
      </c>
      <c r="E192" s="34" t="inlineStr">
        <is>
          <t>Single Jump (258)</t>
        </is>
      </c>
      <c r="F192" s="34" t="n"/>
      <c r="G192" s="34" t="n"/>
      <c r="H192" s="34" t="n"/>
      <c r="I192" s="34" t="n"/>
      <c r="J192" s="16" t="n"/>
    </row>
    <row r="193">
      <c r="B193" s="42" t="n"/>
      <c r="D193" s="12" t="inlineStr">
        <is>
          <t>Cap Throws that work:</t>
        </is>
      </c>
      <c r="E193" s="34" t="inlineStr">
        <is>
          <t>No Cap Throw Needed</t>
        </is>
      </c>
      <c r="F193" s="34" t="n"/>
      <c r="G193" s="34" t="n"/>
      <c r="H193" s="34" t="n"/>
      <c r="I193" s="34" t="n"/>
      <c r="J193" s="16" t="n"/>
    </row>
    <row r="194">
      <c r="A194" s="43" t="n"/>
      <c r="B194" s="44" t="n"/>
      <c r="C194" s="43" t="n"/>
      <c r="D194" s="19" t="inlineStr">
        <is>
          <t>Other Required:</t>
        </is>
      </c>
      <c r="E194" s="35" t="inlineStr">
        <is>
          <t>Capture</t>
        </is>
      </c>
      <c r="F194" s="35" t="n"/>
      <c r="G194" s="35" t="n"/>
      <c r="H194" s="35" t="n"/>
      <c r="I194" s="35" t="n"/>
      <c r="J194" s="16" t="n"/>
    </row>
    <row r="195">
      <c r="A195" s="41" t="b">
        <v>1</v>
      </c>
      <c r="B195" s="31" t="inlineStr">
        <is>
          <t>Cascade Kingdom: Caught Hopping at the Waterfall!</t>
        </is>
      </c>
      <c r="C195" s="35" t="n"/>
      <c r="D195" s="12" t="inlineStr">
        <is>
          <t>Minimum Jump Height:</t>
        </is>
      </c>
      <c r="E195" s="34" t="inlineStr">
        <is>
          <t>No Jump Needed</t>
        </is>
      </c>
      <c r="F195" s="34" t="n"/>
      <c r="G195" s="34" t="n"/>
      <c r="H195" s="34" t="n"/>
      <c r="I195" s="34" t="n"/>
      <c r="J195" s="16" t="n"/>
    </row>
    <row r="196">
      <c r="B196" s="42" t="n"/>
      <c r="D196" s="12" t="inlineStr">
        <is>
          <t>Cap Throws that work:</t>
        </is>
      </c>
      <c r="E196" s="34" t="inlineStr">
        <is>
          <t>No Cap Throw Needed</t>
        </is>
      </c>
      <c r="F196" s="34" t="n"/>
      <c r="G196" s="34" t="n"/>
      <c r="H196" s="34" t="n"/>
      <c r="I196" s="34" t="n"/>
      <c r="J196" s="16" t="n"/>
    </row>
    <row r="197">
      <c r="A197" s="43" t="n"/>
      <c r="B197" s="44" t="n"/>
      <c r="C197" s="43" t="n"/>
      <c r="D197" s="19" t="inlineStr">
        <is>
          <t>Other Required:</t>
        </is>
      </c>
      <c r="E197" s="35" t="inlineStr">
        <is>
          <t>None</t>
        </is>
      </c>
      <c r="F197" s="35" t="n"/>
      <c r="G197" s="35" t="n"/>
      <c r="H197" s="35" t="n"/>
      <c r="I197" s="35" t="n"/>
      <c r="J197" s="16" t="n"/>
    </row>
    <row r="198">
      <c r="A198" s="41" t="b">
        <v>1</v>
      </c>
      <c r="B198" s="31" t="inlineStr">
        <is>
          <t>Cascade Kingdom: Taking Notes: Hurry Upward</t>
        </is>
      </c>
      <c r="C198" s="35" t="n"/>
      <c r="D198" s="12" t="inlineStr">
        <is>
          <t>Minimum Jump Height:</t>
        </is>
      </c>
      <c r="E198" s="34" t="inlineStr">
        <is>
          <t>Single Jump (258)</t>
        </is>
      </c>
      <c r="F198" s="34" t="n"/>
      <c r="G198" s="34" t="n"/>
      <c r="H198" s="34" t="n"/>
      <c r="I198" s="34" t="n"/>
      <c r="J198" s="16" t="n"/>
    </row>
    <row r="199">
      <c r="B199" s="42" t="n"/>
      <c r="D199" s="12" t="inlineStr">
        <is>
          <t>Cap Throws that work:</t>
        </is>
      </c>
      <c r="E199" s="34" t="inlineStr">
        <is>
          <t>No Cap Throw Needed</t>
        </is>
      </c>
      <c r="F199" s="34" t="n"/>
      <c r="G199" s="34" t="n"/>
      <c r="H199" s="34" t="n"/>
      <c r="I199" s="34" t="n"/>
      <c r="J199" s="16" t="n"/>
    </row>
    <row r="200">
      <c r="A200" s="43" t="n"/>
      <c r="B200" s="44" t="n"/>
      <c r="C200" s="43" t="n"/>
      <c r="D200" s="19" t="inlineStr">
        <is>
          <t>Other Required:</t>
        </is>
      </c>
      <c r="E200" s="35" t="inlineStr">
        <is>
          <t>None</t>
        </is>
      </c>
      <c r="F200" s="35" t="n"/>
      <c r="G200" s="35" t="n"/>
      <c r="H200" s="35" t="n"/>
      <c r="I200" s="35" t="n"/>
      <c r="J200" s="16" t="n"/>
    </row>
    <row r="201">
      <c r="A201" s="41" t="b">
        <v>1</v>
      </c>
      <c r="B201" s="31" t="inlineStr">
        <is>
          <t>Cascade Kingdom: Cascade Kingdom Master Cup</t>
        </is>
      </c>
      <c r="C201" s="35" t="n"/>
      <c r="D201" s="12" t="inlineStr">
        <is>
          <t>Minimum Jump Height:</t>
        </is>
      </c>
      <c r="E201" s="34" t="inlineStr">
        <is>
          <t>Long Jump</t>
        </is>
      </c>
      <c r="F201" s="34" t="n"/>
      <c r="G201" s="34" t="n"/>
      <c r="H201" s="34" t="n"/>
      <c r="I201" s="34" t="n"/>
      <c r="J201" s="16" t="n"/>
    </row>
    <row r="202">
      <c r="B202" s="42" t="n"/>
      <c r="D202" s="12" t="inlineStr">
        <is>
          <t>Cap Throws that work:</t>
        </is>
      </c>
      <c r="E202" s="34" t="inlineStr">
        <is>
          <t>No Cap Throw Needed</t>
        </is>
      </c>
      <c r="F202" s="34" t="n"/>
      <c r="G202" s="34" t="n"/>
      <c r="H202" s="34" t="n"/>
      <c r="I202" s="34" t="n"/>
      <c r="J202" s="16" t="n"/>
    </row>
    <row r="203">
      <c r="A203" s="43" t="n"/>
      <c r="B203" s="44" t="n"/>
      <c r="C203" s="43" t="n"/>
      <c r="D203" s="19" t="inlineStr">
        <is>
          <t>Other Required:</t>
        </is>
      </c>
      <c r="E203" s="35" t="inlineStr">
        <is>
          <t>None</t>
        </is>
      </c>
      <c r="F203" s="35" t="n"/>
      <c r="G203" s="35" t="n"/>
      <c r="H203" s="35" t="n"/>
      <c r="I203" s="35" t="n"/>
      <c r="J203" s="16" t="n"/>
    </row>
    <row r="204">
      <c r="A204" s="41" t="b">
        <v>1</v>
      </c>
      <c r="B204" s="31" t="inlineStr">
        <is>
          <t>Mysterious Clouds: Across the Mysterious Clouds</t>
        </is>
      </c>
      <c r="C204" s="35" t="n"/>
      <c r="D204" s="12" t="inlineStr">
        <is>
          <t>Minimum Jump Height:</t>
        </is>
      </c>
      <c r="E204" s="34" t="inlineStr">
        <is>
          <t>Long Jump</t>
        </is>
      </c>
      <c r="F204" s="34" t="inlineStr">
        <is>
          <t>Single Jump (258)</t>
        </is>
      </c>
      <c r="G204" s="34" t="n"/>
      <c r="H204" s="34" t="n"/>
      <c r="I204" s="34" t="n"/>
      <c r="J204" s="16" t="inlineStr">
        <is>
          <t>IF EXIT SPAWN: Moon is already spawned only low jump needed</t>
        </is>
      </c>
    </row>
    <row r="205">
      <c r="B205" s="42" t="n"/>
      <c r="D205" s="12" t="inlineStr">
        <is>
          <t>Cap Throws that work:</t>
        </is>
      </c>
      <c r="E205" s="34" t="inlineStr">
        <is>
          <t>Neutral Throw, Up Throw, Down Throw, Spin Throw</t>
        </is>
      </c>
      <c r="F205" s="34" t="inlineStr">
        <is>
          <t>Neutral Throw, Up Throw, Down Throw, Spin Throw</t>
        </is>
      </c>
      <c r="G205" s="34" t="n"/>
      <c r="H205" s="34" t="n"/>
      <c r="I205" s="34" t="n"/>
      <c r="J205" s="16" t="n"/>
    </row>
    <row r="206">
      <c r="A206" s="43" t="n"/>
      <c r="B206" s="44" t="n"/>
      <c r="C206" s="43" t="n"/>
      <c r="D206" s="19" t="inlineStr">
        <is>
          <t>Other Required:</t>
        </is>
      </c>
      <c r="E206" s="35" t="n"/>
      <c r="F206" s="35" t="inlineStr">
        <is>
          <t>None</t>
        </is>
      </c>
      <c r="G206" s="35" t="n"/>
      <c r="H206" s="35" t="n"/>
      <c r="I206" s="35" t="n"/>
      <c r="J206" s="16" t="n"/>
    </row>
    <row r="207">
      <c r="A207" s="41" t="b">
        <v>1</v>
      </c>
      <c r="B207" s="31" t="inlineStr">
        <is>
          <t>Mysterious Clouds: Atop a Wall Among the Clouds</t>
        </is>
      </c>
      <c r="C207" s="35" t="n"/>
      <c r="D207" s="12" t="inlineStr">
        <is>
          <t>Minimum Jump Height:</t>
        </is>
      </c>
      <c r="E207" s="34" t="inlineStr">
        <is>
          <t>Long Jump</t>
        </is>
      </c>
      <c r="F207" s="34" t="inlineStr">
        <is>
          <t>Double Jump (312)</t>
        </is>
      </c>
      <c r="G207" s="34" t="n"/>
      <c r="H207" s="34" t="n"/>
      <c r="I207" s="34" t="n"/>
      <c r="J207" s="16" t="n"/>
    </row>
    <row r="208">
      <c r="B208" s="42" t="n"/>
      <c r="D208" s="12" t="inlineStr">
        <is>
          <t>Cap Throws that work:</t>
        </is>
      </c>
      <c r="E208" s="34" t="inlineStr">
        <is>
          <t>Neutral Throw, Up Throw, Down Throw, Spin Throw</t>
        </is>
      </c>
      <c r="F208" s="34" t="inlineStr">
        <is>
          <t>Neutral Throw, Up Throw, Down Throw, Spin Throw</t>
        </is>
      </c>
      <c r="G208" s="34" t="n"/>
      <c r="H208" s="34" t="n"/>
      <c r="I208" s="34" t="n"/>
      <c r="J208" s="16" t="n"/>
    </row>
    <row r="209">
      <c r="A209" s="43" t="n"/>
      <c r="B209" s="44" t="n"/>
      <c r="C209" s="43" t="n"/>
      <c r="D209" s="19" t="inlineStr">
        <is>
          <t>Other Required:</t>
        </is>
      </c>
      <c r="E209" s="35" t="n"/>
      <c r="F209" s="35" t="inlineStr">
        <is>
          <t>None</t>
        </is>
      </c>
      <c r="G209" s="35" t="n"/>
      <c r="H209" s="35" t="n"/>
      <c r="I209" s="35" t="n"/>
      <c r="J209" s="16" t="n"/>
    </row>
    <row r="210">
      <c r="A210" s="41" t="b">
        <v>1</v>
      </c>
      <c r="B210" s="31" t="inlineStr">
        <is>
          <t>Gusty Bridges: Across the Gusty Bridges</t>
        </is>
      </c>
      <c r="C210" s="35" t="n"/>
      <c r="D210" s="12" t="inlineStr">
        <is>
          <t>Minimum Jump Height:</t>
        </is>
      </c>
      <c r="E210" s="34" t="inlineStr">
        <is>
          <t>Long Jump</t>
        </is>
      </c>
      <c r="F210" s="34" t="inlineStr">
        <is>
          <t>Single Jump (258)</t>
        </is>
      </c>
      <c r="G210" s="34" t="n"/>
      <c r="H210" s="34" t="n"/>
      <c r="I210" s="34" t="n"/>
      <c r="J210" s="16" t="inlineStr">
        <is>
          <t>IF EXIT SPAWN: Moon is already spawned, other moon not possible from this spawn location</t>
        </is>
      </c>
    </row>
    <row r="211">
      <c r="B211" s="42" t="n"/>
      <c r="D211" s="12" t="inlineStr">
        <is>
          <t>Cap Throws that work:</t>
        </is>
      </c>
      <c r="E211" s="34" t="inlineStr">
        <is>
          <t>Neutral Throw, Up Throw, Down Throw, Spin Throw</t>
        </is>
      </c>
      <c r="F211" s="34" t="inlineStr">
        <is>
          <t>Neutral Throw, Up Throw, Down Throw, Spin Throw</t>
        </is>
      </c>
      <c r="G211" s="34" t="n"/>
      <c r="H211" s="34" t="n"/>
      <c r="I211" s="34" t="n"/>
      <c r="J211" s="16" t="n"/>
    </row>
    <row r="212">
      <c r="A212" s="43" t="n"/>
      <c r="B212" s="44" t="n"/>
      <c r="C212" s="43" t="n"/>
      <c r="D212" s="19" t="inlineStr">
        <is>
          <t>Other Required:</t>
        </is>
      </c>
      <c r="E212" s="35" t="n"/>
      <c r="F212" s="35" t="inlineStr">
        <is>
          <t>None</t>
        </is>
      </c>
      <c r="G212" s="35" t="n"/>
      <c r="H212" s="35" t="n"/>
      <c r="I212" s="35" t="n"/>
      <c r="J212" s="16" t="n"/>
    </row>
    <row r="213">
      <c r="A213" s="41" t="b">
        <v>1</v>
      </c>
      <c r="B213" s="31" t="inlineStr">
        <is>
          <t>Gusty Bridges: Flying Far Away from Gusty Bridges</t>
        </is>
      </c>
      <c r="C213" s="35" t="n"/>
      <c r="D213" s="12" t="inlineStr">
        <is>
          <t>Minimum Jump Height:</t>
        </is>
      </c>
      <c r="E213" s="34" t="inlineStr">
        <is>
          <t>Long Jump</t>
        </is>
      </c>
      <c r="F213" s="34" t="inlineStr">
        <is>
          <t>Single Jump (258)</t>
        </is>
      </c>
      <c r="G213" s="34" t="n"/>
      <c r="H213" s="34" t="n"/>
      <c r="I213" s="34" t="n"/>
      <c r="J213" s="16" t="n"/>
    </row>
    <row r="214">
      <c r="B214" s="42" t="n"/>
      <c r="D214" s="12" t="inlineStr">
        <is>
          <t>Cap Throws that work:</t>
        </is>
      </c>
      <c r="E214" s="34" t="inlineStr">
        <is>
          <t>Neutral Throw, Up Throw, Down Throw, Spin Throw</t>
        </is>
      </c>
      <c r="F214" s="34" t="inlineStr">
        <is>
          <t>Neutral Throw, Up Throw, Down Throw, Spin Throw</t>
        </is>
      </c>
      <c r="G214" s="34" t="n"/>
      <c r="H214" s="34" t="n"/>
      <c r="I214" s="34" t="n"/>
      <c r="J214" s="16" t="n"/>
    </row>
    <row r="215">
      <c r="A215" s="43" t="n"/>
      <c r="B215" s="44" t="n"/>
      <c r="C215" s="43" t="n"/>
      <c r="D215" s="19" t="inlineStr">
        <is>
          <t>Other Required:</t>
        </is>
      </c>
      <c r="E215" s="35" t="n"/>
      <c r="F215" s="35" t="inlineStr">
        <is>
          <t>None</t>
        </is>
      </c>
      <c r="G215" s="35" t="n"/>
      <c r="H215" s="35" t="n"/>
      <c r="I215" s="35" t="n"/>
      <c r="J215" s="16" t="n"/>
    </row>
    <row r="216">
      <c r="A216" s="41" t="b">
        <v>1</v>
      </c>
      <c r="B216" s="31" t="inlineStr">
        <is>
          <t>Sand Kingdom: Atop the Highest Tower</t>
        </is>
      </c>
      <c r="C216" s="35" t="n"/>
      <c r="D216" s="12" t="inlineStr">
        <is>
          <t>Minimum Jump Height:</t>
        </is>
      </c>
      <c r="E216" s="34" t="inlineStr">
        <is>
          <t>Long Jump</t>
        </is>
      </c>
      <c r="F216" s="34" t="n"/>
      <c r="G216" s="34" t="n"/>
      <c r="H216" s="34" t="n"/>
      <c r="I216" s="34" t="n"/>
      <c r="J216" s="16" t="n"/>
    </row>
    <row r="217">
      <c r="B217" s="42" t="n"/>
      <c r="D217" s="12" t="inlineStr">
        <is>
          <t>Cap Throws that work:</t>
        </is>
      </c>
      <c r="E217" s="34" t="inlineStr">
        <is>
          <t>No Cap Throw Needed</t>
        </is>
      </c>
      <c r="F217" s="34" t="n"/>
      <c r="G217" s="34" t="n"/>
      <c r="H217" s="34" t="n"/>
      <c r="I217" s="34" t="n"/>
      <c r="J217" s="16" t="n"/>
    </row>
    <row r="218">
      <c r="A218" s="43" t="n"/>
      <c r="B218" s="44" t="n"/>
      <c r="C218" s="43" t="n"/>
      <c r="D218" s="19" t="inlineStr">
        <is>
          <t>Other Required:</t>
        </is>
      </c>
      <c r="E218" s="35" t="n"/>
      <c r="F218" s="35" t="n"/>
      <c r="G218" s="35" t="n"/>
      <c r="H218" s="35" t="n"/>
      <c r="I218" s="35" t="n"/>
      <c r="J218" s="16" t="n"/>
    </row>
    <row r="219">
      <c r="A219" s="41" t="b">
        <v>1</v>
      </c>
      <c r="B219" s="31" t="inlineStr">
        <is>
          <t>Sand Kingdom: Moon Shards in the Sand</t>
        </is>
      </c>
      <c r="C219" s="35" t="n"/>
      <c r="D219" s="12" t="inlineStr">
        <is>
          <t>Minimum Jump Height:</t>
        </is>
      </c>
      <c r="E219" s="34" t="inlineStr">
        <is>
          <t>Single Jump (258)</t>
        </is>
      </c>
      <c r="F219" s="34" t="n"/>
      <c r="G219" s="34" t="n"/>
      <c r="H219" s="34" t="n"/>
      <c r="I219" s="34" t="n"/>
      <c r="J219" s="16" t="n"/>
    </row>
    <row r="220">
      <c r="B220" s="42" t="n"/>
      <c r="D220" s="12" t="inlineStr">
        <is>
          <t>Cap Throws that work:</t>
        </is>
      </c>
      <c r="E220" s="34" t="inlineStr">
        <is>
          <t>Neutral Throw, Up Throw, Down Throw, Spin Throw</t>
        </is>
      </c>
      <c r="F220" s="34" t="n"/>
      <c r="G220" s="34" t="n"/>
      <c r="H220" s="34" t="n"/>
      <c r="I220" s="34" t="n"/>
      <c r="J220" s="16" t="n"/>
    </row>
    <row r="221">
      <c r="A221" s="43" t="n"/>
      <c r="B221" s="44" t="n"/>
      <c r="C221" s="43" t="n"/>
      <c r="D221" s="19" t="inlineStr">
        <is>
          <t>Other Required:</t>
        </is>
      </c>
      <c r="E221" s="35" t="inlineStr">
        <is>
          <t>None</t>
        </is>
      </c>
      <c r="F221" s="35" t="n"/>
      <c r="G221" s="35" t="n"/>
      <c r="H221" s="35" t="n"/>
      <c r="I221" s="35" t="n"/>
      <c r="J221" s="16" t="n"/>
    </row>
    <row r="222">
      <c r="A222" s="41" t="b">
        <v>1</v>
      </c>
      <c r="B222" s="31" t="inlineStr">
        <is>
          <t>Sand Kingdom: Showdown on the Inverted Pyramid</t>
        </is>
      </c>
      <c r="C222" s="35" t="inlineStr">
        <is>
          <t>Bullet Bill</t>
        </is>
      </c>
      <c r="D222" s="12" t="inlineStr">
        <is>
          <t>Minimum Jump Height:</t>
        </is>
      </c>
      <c r="E222" s="34" t="inlineStr">
        <is>
          <t>Long Jump</t>
        </is>
      </c>
      <c r="F222" s="34" t="n"/>
      <c r="G222" s="34" t="n"/>
      <c r="H222" s="34" t="n"/>
      <c r="I222" s="34" t="n"/>
      <c r="J222" s="16" t="n"/>
    </row>
    <row r="223">
      <c r="B223" s="42" t="n"/>
      <c r="D223" s="12" t="inlineStr">
        <is>
          <t>Cap Throws that work:</t>
        </is>
      </c>
      <c r="E223" s="34" t="inlineStr">
        <is>
          <t>Neutral Throw, Up Throw, Down Throw, Spin Throw</t>
        </is>
      </c>
      <c r="F223" s="34" t="n"/>
      <c r="G223" s="34" t="n"/>
      <c r="H223" s="34" t="n"/>
      <c r="I223" s="34" t="n"/>
      <c r="J223" s="16" t="n"/>
    </row>
    <row r="224">
      <c r="A224" s="43" t="n"/>
      <c r="B224" s="44" t="n"/>
      <c r="C224" s="43" t="n"/>
      <c r="D224" s="19" t="inlineStr">
        <is>
          <t>Other Required:</t>
        </is>
      </c>
      <c r="E224" s="35" t="n"/>
      <c r="F224" s="35" t="n"/>
      <c r="G224" s="35" t="n"/>
      <c r="H224" s="35" t="n"/>
      <c r="I224" s="35" t="n"/>
      <c r="J224" s="16" t="n"/>
    </row>
    <row r="225">
      <c r="A225" s="41" t="b">
        <v>1</v>
      </c>
      <c r="B225" s="31" t="inlineStr">
        <is>
          <t>Deepest Underground: The Hole in the Desert</t>
        </is>
      </c>
      <c r="C225" s="35" t="inlineStr">
        <is>
          <t>Bullet Bill, Knucklotec's Fist</t>
        </is>
      </c>
      <c r="D225" s="12" t="inlineStr">
        <is>
          <t>Minimum Jump Height:</t>
        </is>
      </c>
      <c r="E225" s="34" t="inlineStr">
        <is>
          <t>Single Jump (258)</t>
        </is>
      </c>
      <c r="F225" s="34" t="n"/>
      <c r="G225" s="34" t="n"/>
      <c r="H225" s="34" t="n"/>
      <c r="I225" s="34" t="n"/>
      <c r="J225" s="16" t="n"/>
    </row>
    <row r="226">
      <c r="B226" s="42" t="n"/>
      <c r="D226" s="12" t="inlineStr">
        <is>
          <t>Cap Throws that work:</t>
        </is>
      </c>
      <c r="E226" s="34" t="inlineStr">
        <is>
          <t>Neutral Throw, Up Throw, Down Throw, Spin Throw</t>
        </is>
      </c>
      <c r="F226" s="34" t="n"/>
      <c r="G226" s="34" t="n"/>
      <c r="H226" s="34" t="n"/>
      <c r="I226" s="34" t="n"/>
      <c r="J226" s="16" t="n"/>
    </row>
    <row r="227">
      <c r="A227" s="43" t="n"/>
      <c r="B227" s="44" t="n"/>
      <c r="C227" s="43" t="n"/>
      <c r="D227" s="19" t="inlineStr">
        <is>
          <t>Other Required:</t>
        </is>
      </c>
      <c r="E227" s="35" t="inlineStr">
        <is>
          <t>None</t>
        </is>
      </c>
      <c r="F227" s="35" t="n"/>
      <c r="G227" s="35" t="n"/>
      <c r="H227" s="35" t="n"/>
      <c r="I227" s="35" t="n"/>
      <c r="J227" s="16" t="n"/>
    </row>
    <row r="228">
      <c r="A228" s="41" t="b">
        <v>1</v>
      </c>
      <c r="B228" s="31" t="inlineStr">
        <is>
          <t>Sand Kingdom: Overlooking the Desert Town</t>
        </is>
      </c>
      <c r="C228" s="35" t="n"/>
      <c r="D228" s="12" t="inlineStr">
        <is>
          <t>Minimum Jump Height:</t>
        </is>
      </c>
      <c r="E228" s="34" t="inlineStr">
        <is>
          <t>Long Jump</t>
        </is>
      </c>
      <c r="F228" s="34" t="n"/>
      <c r="G228" s="34" t="n"/>
      <c r="H228" s="34" t="n"/>
      <c r="I228" s="34" t="n"/>
      <c r="J228" s="16" t="n"/>
    </row>
    <row r="229">
      <c r="B229" s="42" t="n"/>
      <c r="D229" s="12" t="inlineStr">
        <is>
          <t>Cap Throws that work:</t>
        </is>
      </c>
      <c r="E229" s="34" t="inlineStr">
        <is>
          <t>No Cap Throw Needed</t>
        </is>
      </c>
      <c r="F229" s="34" t="n"/>
      <c r="G229" s="34" t="n"/>
      <c r="H229" s="34" t="n"/>
      <c r="I229" s="34" t="n"/>
      <c r="J229" s="16" t="n"/>
    </row>
    <row r="230">
      <c r="A230" s="43" t="n"/>
      <c r="B230" s="44" t="n"/>
      <c r="C230" s="43" t="n"/>
      <c r="D230" s="19" t="inlineStr">
        <is>
          <t>Other Required:</t>
        </is>
      </c>
      <c r="E230" s="35" t="inlineStr">
        <is>
          <t>None</t>
        </is>
      </c>
      <c r="F230" s="35" t="n"/>
      <c r="G230" s="35" t="n"/>
      <c r="H230" s="35" t="n"/>
      <c r="I230" s="35" t="n"/>
      <c r="J230" s="16" t="n"/>
    </row>
    <row r="231">
      <c r="A231" s="41" t="b">
        <v>1</v>
      </c>
      <c r="B231" s="31" t="inlineStr">
        <is>
          <t>Sand Kingdom: Alcove in the Ruins</t>
        </is>
      </c>
      <c r="C231" s="35" t="n"/>
      <c r="D231" s="12" t="inlineStr">
        <is>
          <t>Minimum Jump Height:</t>
        </is>
      </c>
      <c r="E231" s="34" t="inlineStr">
        <is>
          <t>Long Jump</t>
        </is>
      </c>
      <c r="F231" s="34" t="inlineStr">
        <is>
          <t>No Jump Needed</t>
        </is>
      </c>
      <c r="G231" s="34" t="n"/>
      <c r="H231" s="34" t="n"/>
      <c r="I231" s="34" t="n"/>
      <c r="J231" s="16" t="n"/>
    </row>
    <row r="232">
      <c r="B232" s="42" t="n"/>
      <c r="D232" s="12" t="inlineStr">
        <is>
          <t>Cap Throws that work:</t>
        </is>
      </c>
      <c r="E232" s="34" t="inlineStr">
        <is>
          <t>No Cap Throw Needed</t>
        </is>
      </c>
      <c r="F232" s="34" t="inlineStr">
        <is>
          <t>No Cap Throw Needed</t>
        </is>
      </c>
      <c r="G232" s="34" t="n"/>
      <c r="H232" s="34" t="n"/>
      <c r="I232" s="34" t="n"/>
      <c r="J232" s="16" t="n"/>
    </row>
    <row r="233">
      <c r="A233" s="43" t="n"/>
      <c r="B233" s="44" t="n"/>
      <c r="C233" s="43" t="n"/>
      <c r="D233" s="19" t="inlineStr">
        <is>
          <t>Other Required:</t>
        </is>
      </c>
      <c r="E233" s="35" t="inlineStr">
        <is>
          <t>Dive</t>
        </is>
      </c>
      <c r="F233" s="35" t="inlineStr">
        <is>
          <t>Capture</t>
        </is>
      </c>
      <c r="G233" s="35" t="n"/>
      <c r="H233" s="35" t="n"/>
      <c r="I233" s="35" t="n"/>
      <c r="J233" s="16" t="n"/>
    </row>
    <row r="234">
      <c r="A234" s="41" t="b">
        <v>1</v>
      </c>
      <c r="B234" s="31" t="inlineStr">
        <is>
          <t>Sand Kingdom: On the Leaning Pillar</t>
        </is>
      </c>
      <c r="C234" s="34" t="inlineStr">
        <is>
          <t>Glydon</t>
        </is>
      </c>
      <c r="D234" s="12" t="inlineStr">
        <is>
          <t>Minimum Jump Height:</t>
        </is>
      </c>
      <c r="E234" s="34" t="inlineStr">
        <is>
          <t>Single Jump (258)</t>
        </is>
      </c>
      <c r="F234" s="34" t="inlineStr">
        <is>
          <t>Double Jump (312)</t>
        </is>
      </c>
      <c r="G234" s="34" t="n"/>
      <c r="H234" s="34" t="n"/>
      <c r="I234" s="34" t="n"/>
      <c r="J234" s="16" t="n"/>
    </row>
    <row r="235">
      <c r="B235" s="42" t="n"/>
      <c r="C235" s="34" t="inlineStr">
        <is>
          <t>Bullet Bill</t>
        </is>
      </c>
      <c r="D235" s="12" t="inlineStr">
        <is>
          <t>Cap Throws that work:</t>
        </is>
      </c>
      <c r="E235" s="34" t="inlineStr">
        <is>
          <t>No Cap Throw Needed</t>
        </is>
      </c>
      <c r="F235" s="34" t="inlineStr">
        <is>
          <t>Neutral Throw</t>
        </is>
      </c>
      <c r="G235" s="34" t="n"/>
      <c r="H235" s="34" t="n"/>
      <c r="I235" s="34" t="n"/>
      <c r="J235" s="16" t="n"/>
    </row>
    <row r="236">
      <c r="A236" s="43" t="n"/>
      <c r="B236" s="44" t="n"/>
      <c r="C236" s="35" t="n"/>
      <c r="D236" s="19" t="inlineStr">
        <is>
          <t>Other Required:</t>
        </is>
      </c>
      <c r="E236" s="35" t="inlineStr">
        <is>
          <t>Capture</t>
        </is>
      </c>
      <c r="F236" s="35" t="inlineStr">
        <is>
          <t>Wall Slide, Dive</t>
        </is>
      </c>
      <c r="G236" s="35" t="n"/>
      <c r="H236" s="35" t="n"/>
      <c r="I236" s="35" t="n"/>
      <c r="J236" s="16" t="n"/>
    </row>
    <row r="237">
      <c r="A237" s="41" t="b">
        <v>1</v>
      </c>
      <c r="B237" s="31" t="inlineStr">
        <is>
          <t>Sand Kingdom: Hidden Room in the Flowing Sands</t>
        </is>
      </c>
      <c r="C237" s="35" t="n"/>
      <c r="D237" s="12" t="inlineStr">
        <is>
          <t>Minimum Jump Height:</t>
        </is>
      </c>
      <c r="E237" s="34" t="inlineStr">
        <is>
          <t>Single Jump (258)</t>
        </is>
      </c>
      <c r="F237" s="34" t="n"/>
      <c r="G237" s="34" t="n"/>
      <c r="H237" s="34" t="n"/>
      <c r="I237" s="34" t="n"/>
      <c r="J237" s="16" t="n"/>
    </row>
    <row r="238">
      <c r="B238" s="42" t="n"/>
      <c r="D238" s="12" t="inlineStr">
        <is>
          <t>Cap Throws that work:</t>
        </is>
      </c>
      <c r="E238" s="34" t="inlineStr">
        <is>
          <t>No Cap Throw Needed</t>
        </is>
      </c>
      <c r="F238" s="34" t="n"/>
      <c r="G238" s="34" t="n"/>
      <c r="H238" s="34" t="n"/>
      <c r="I238" s="34" t="n"/>
      <c r="J238" s="16" t="n"/>
    </row>
    <row r="239">
      <c r="A239" s="43" t="n"/>
      <c r="B239" s="44" t="n"/>
      <c r="C239" s="43" t="n"/>
      <c r="D239" s="19" t="inlineStr">
        <is>
          <t>Other Required:</t>
        </is>
      </c>
      <c r="E239" s="35" t="inlineStr">
        <is>
          <t>None</t>
        </is>
      </c>
      <c r="F239" s="35" t="n"/>
      <c r="G239" s="35" t="n"/>
      <c r="H239" s="35" t="n"/>
      <c r="I239" s="35" t="n"/>
      <c r="J239" s="16" t="n"/>
    </row>
    <row r="240">
      <c r="A240" s="41" t="b">
        <v>1</v>
      </c>
      <c r="B240" s="31" t="inlineStr">
        <is>
          <t>Sand Kingdom: Secret of the Mural</t>
        </is>
      </c>
      <c r="C240" s="35" t="n"/>
      <c r="D240" s="12" t="inlineStr">
        <is>
          <t>Minimum Jump Height:</t>
        </is>
      </c>
      <c r="E240" s="34" t="inlineStr">
        <is>
          <t>Long Jump</t>
        </is>
      </c>
      <c r="F240" s="34" t="n"/>
      <c r="G240" s="34" t="n"/>
      <c r="H240" s="34" t="n"/>
      <c r="I240" s="34" t="n"/>
      <c r="J240" s="16" t="n"/>
    </row>
    <row r="241">
      <c r="B241" s="42" t="n"/>
      <c r="D241" s="12" t="inlineStr">
        <is>
          <t>Cap Throws that work:</t>
        </is>
      </c>
      <c r="E241" s="34" t="inlineStr">
        <is>
          <t>No Cap Throw Needed</t>
        </is>
      </c>
      <c r="F241" s="34" t="n"/>
      <c r="G241" s="34" t="n"/>
      <c r="H241" s="34" t="n"/>
      <c r="I241" s="34" t="n"/>
      <c r="J241" s="16" t="n"/>
    </row>
    <row r="242">
      <c r="A242" s="43" t="n"/>
      <c r="B242" s="44" t="n"/>
      <c r="C242" s="43" t="n"/>
      <c r="D242" s="19" t="inlineStr">
        <is>
          <t>Other Required:</t>
        </is>
      </c>
      <c r="E242" s="35" t="n"/>
      <c r="F242" s="35" t="n"/>
      <c r="G242" s="35" t="n"/>
      <c r="H242" s="35" t="n"/>
      <c r="I242" s="35" t="n"/>
      <c r="J242" s="16" t="n"/>
    </row>
    <row r="243">
      <c r="A243" s="41" t="b">
        <v>1</v>
      </c>
      <c r="B243" s="31" t="inlineStr">
        <is>
          <t>Sand Kingdom: Secret of the Inverted Mural</t>
        </is>
      </c>
      <c r="C243" s="35" t="inlineStr">
        <is>
          <t>Bullet Bill</t>
        </is>
      </c>
      <c r="D243" s="12" t="inlineStr">
        <is>
          <t>Minimum Jump Height:</t>
        </is>
      </c>
      <c r="E243" s="34" t="inlineStr">
        <is>
          <t>Long Jump</t>
        </is>
      </c>
      <c r="F243" s="34" t="n"/>
      <c r="G243" s="34" t="n"/>
      <c r="H243" s="34" t="n"/>
      <c r="I243" s="34" t="n"/>
      <c r="J243" s="16" t="n"/>
    </row>
    <row r="244">
      <c r="B244" s="42" t="n"/>
      <c r="D244" s="12" t="inlineStr">
        <is>
          <t>Cap Throws that work:</t>
        </is>
      </c>
      <c r="E244" s="34" t="inlineStr">
        <is>
          <t>No Cap Throw Needed</t>
        </is>
      </c>
      <c r="F244" s="34" t="n"/>
      <c r="G244" s="34" t="n"/>
      <c r="H244" s="34" t="n"/>
      <c r="I244" s="34" t="n"/>
      <c r="J244" s="16" t="n"/>
    </row>
    <row r="245">
      <c r="A245" s="43" t="n"/>
      <c r="B245" s="44" t="n"/>
      <c r="C245" s="43" t="n"/>
      <c r="D245" s="19" t="inlineStr">
        <is>
          <t>Other Required:</t>
        </is>
      </c>
      <c r="E245" s="35" t="inlineStr">
        <is>
          <t>, Capture</t>
        </is>
      </c>
      <c r="F245" s="35" t="n"/>
      <c r="G245" s="35" t="n"/>
      <c r="H245" s="35" t="n"/>
      <c r="I245" s="35" t="n"/>
      <c r="J245" s="16" t="n"/>
    </row>
    <row r="246">
      <c r="A246" s="41" t="b">
        <v>1</v>
      </c>
      <c r="B246" s="31" t="inlineStr">
        <is>
          <t>Sand Kingdom: On Top of the Stone Archway</t>
        </is>
      </c>
      <c r="C246" s="35" t="inlineStr">
        <is>
          <t>Bullet Bill</t>
        </is>
      </c>
      <c r="D246" s="12" t="inlineStr">
        <is>
          <t>Minimum Jump Height:</t>
        </is>
      </c>
      <c r="E246" s="34" t="inlineStr">
        <is>
          <t>Single Jump (258)</t>
        </is>
      </c>
      <c r="F246" s="34" t="inlineStr">
        <is>
          <t>Single Jump (258)</t>
        </is>
      </c>
      <c r="G246" s="34" t="n"/>
      <c r="H246" s="34" t="n"/>
      <c r="I246" s="34" t="n"/>
      <c r="J246" s="16" t="n"/>
    </row>
    <row r="247">
      <c r="B247" s="42" t="n"/>
      <c r="D247" s="12" t="inlineStr">
        <is>
          <t>Cap Throws that work:</t>
        </is>
      </c>
      <c r="E247" s="34" t="inlineStr">
        <is>
          <t>Neutral Throw</t>
        </is>
      </c>
      <c r="F247" s="34" t="inlineStr">
        <is>
          <t>No Cap Throw Needed</t>
        </is>
      </c>
      <c r="G247" s="34" t="n"/>
      <c r="H247" s="34" t="n"/>
      <c r="I247" s="34" t="n"/>
      <c r="J247" s="16" t="n"/>
    </row>
    <row r="248">
      <c r="A248" s="43" t="n"/>
      <c r="B248" s="44" t="n"/>
      <c r="C248" s="43" t="n"/>
      <c r="D248" s="19" t="inlineStr">
        <is>
          <t>Other Required:</t>
        </is>
      </c>
      <c r="E248" s="35" t="inlineStr">
        <is>
          <t>Wall Slide, Dive</t>
        </is>
      </c>
      <c r="F248" s="35" t="inlineStr">
        <is>
          <t>Capture</t>
        </is>
      </c>
      <c r="G248" s="35" t="n"/>
      <c r="H248" s="35" t="n"/>
      <c r="I248" s="35" t="n"/>
      <c r="J248" s="16" t="n"/>
    </row>
    <row r="249">
      <c r="A249" s="41" t="b">
        <v>1</v>
      </c>
      <c r="B249" s="31" t="inlineStr">
        <is>
          <t>Sand Kingdom: From a Crate in the Ruins</t>
        </is>
      </c>
      <c r="C249" s="35" t="n"/>
      <c r="D249" s="12" t="inlineStr">
        <is>
          <t>Minimum Jump Height:</t>
        </is>
      </c>
      <c r="E249" s="34" t="inlineStr">
        <is>
          <t>Single Jump (258)</t>
        </is>
      </c>
      <c r="F249" s="34" t="n"/>
      <c r="G249" s="34" t="n"/>
      <c r="H249" s="34" t="n"/>
      <c r="I249" s="34" t="n"/>
      <c r="J249" s="16" t="n"/>
    </row>
    <row r="250">
      <c r="B250" s="42" t="n"/>
      <c r="D250" s="12" t="inlineStr">
        <is>
          <t>Cap Throws that work:</t>
        </is>
      </c>
      <c r="E250" s="34" t="inlineStr">
        <is>
          <t>Neutral Throw, Up Throw, Down Throw, Spin Throw</t>
        </is>
      </c>
      <c r="F250" s="34" t="n"/>
      <c r="G250" s="34" t="n"/>
      <c r="H250" s="34" t="n"/>
      <c r="I250" s="34" t="n"/>
      <c r="J250" s="16" t="n"/>
    </row>
    <row r="251">
      <c r="A251" s="43" t="n"/>
      <c r="B251" s="44" t="n"/>
      <c r="C251" s="43" t="n"/>
      <c r="D251" s="19" t="inlineStr">
        <is>
          <t>Other Required:</t>
        </is>
      </c>
      <c r="E251" s="35" t="inlineStr">
        <is>
          <t>None</t>
        </is>
      </c>
      <c r="F251" s="35" t="n"/>
      <c r="G251" s="35" t="n"/>
      <c r="H251" s="35" t="n"/>
      <c r="I251" s="35" t="n"/>
      <c r="J251" s="16" t="n"/>
    </row>
    <row r="252">
      <c r="A252" s="41" t="b">
        <v>1</v>
      </c>
      <c r="B252" s="31" t="inlineStr">
        <is>
          <t>Sand Kingdom: On the Lone Pillar</t>
        </is>
      </c>
      <c r="C252" s="34" t="inlineStr">
        <is>
          <t>Bullet Bill</t>
        </is>
      </c>
      <c r="D252" s="12" t="inlineStr">
        <is>
          <t>Minimum Jump Height:</t>
        </is>
      </c>
      <c r="E252" s="34" t="inlineStr">
        <is>
          <t>Single Jump (258)</t>
        </is>
      </c>
      <c r="F252" s="34" t="n"/>
      <c r="G252" s="34" t="n"/>
      <c r="H252" s="34" t="n"/>
      <c r="I252" s="34" t="n"/>
      <c r="J252" s="16" t="n"/>
    </row>
    <row r="253">
      <c r="B253" s="42" t="n"/>
      <c r="C253" s="34" t="inlineStr">
        <is>
          <t>Glydon</t>
        </is>
      </c>
      <c r="D253" s="12" t="inlineStr">
        <is>
          <t>Cap Throws that work:</t>
        </is>
      </c>
      <c r="E253" s="34" t="inlineStr">
        <is>
          <t>No Cap Throw Needed</t>
        </is>
      </c>
      <c r="F253" s="34" t="n"/>
      <c r="G253" s="34" t="n"/>
      <c r="H253" s="34" t="n"/>
      <c r="I253" s="34" t="n"/>
      <c r="J253" s="16" t="n"/>
    </row>
    <row r="254">
      <c r="A254" s="43" t="n"/>
      <c r="B254" s="44" t="n"/>
      <c r="C254" s="35" t="n"/>
      <c r="D254" s="19" t="inlineStr">
        <is>
          <t>Other Required:</t>
        </is>
      </c>
      <c r="E254" s="35" t="inlineStr">
        <is>
          <t>Capture</t>
        </is>
      </c>
      <c r="F254" s="35" t="n"/>
      <c r="G254" s="35" t="n"/>
      <c r="H254" s="35" t="n"/>
      <c r="I254" s="35" t="n"/>
      <c r="J254" s="16" t="n"/>
    </row>
    <row r="255">
      <c r="A255" s="41" t="b">
        <v>1</v>
      </c>
      <c r="B255" s="31" t="inlineStr">
        <is>
          <t>Sand Kingdom: On the Statue's Tail</t>
        </is>
      </c>
      <c r="C255" s="35" t="n"/>
      <c r="D255" s="12" t="inlineStr">
        <is>
          <t>Minimum Jump Height:</t>
        </is>
      </c>
      <c r="E255" s="34" t="inlineStr">
        <is>
          <t>Long Jump</t>
        </is>
      </c>
      <c r="F255" s="34" t="n"/>
      <c r="G255" s="34" t="n"/>
      <c r="H255" s="34" t="n"/>
      <c r="I255" s="34" t="n"/>
      <c r="J255" s="16" t="n"/>
    </row>
    <row r="256">
      <c r="B256" s="42" t="n"/>
      <c r="D256" s="12" t="inlineStr">
        <is>
          <t>Cap Throws that work:</t>
        </is>
      </c>
      <c r="E256" s="34" t="inlineStr">
        <is>
          <t>Neutral Throw, Up Throw, Spin Throw, Down Throw</t>
        </is>
      </c>
      <c r="F256" s="34" t="n"/>
      <c r="G256" s="34" t="n"/>
      <c r="H256" s="34" t="n"/>
      <c r="I256" s="34" t="n"/>
      <c r="J256" s="16" t="n"/>
    </row>
    <row r="257">
      <c r="A257" s="43" t="n"/>
      <c r="B257" s="44" t="n"/>
      <c r="C257" s="43" t="n"/>
      <c r="D257" s="19" t="inlineStr">
        <is>
          <t>Other Required:</t>
        </is>
      </c>
      <c r="E257" s="35" t="inlineStr">
        <is>
          <t>None</t>
        </is>
      </c>
      <c r="F257" s="35" t="n"/>
      <c r="G257" s="35" t="n"/>
      <c r="H257" s="35" t="n"/>
      <c r="I257" s="35" t="n"/>
      <c r="J257" s="16" t="n"/>
    </row>
    <row r="258">
      <c r="A258" s="41" t="b">
        <v>1</v>
      </c>
      <c r="B258" s="31" t="inlineStr">
        <is>
          <t>Sand Kingdom: Hang Your Hat on the Fountain</t>
        </is>
      </c>
      <c r="C258" s="35" t="n"/>
      <c r="D258" s="12" t="inlineStr">
        <is>
          <t>Minimum Jump Height:</t>
        </is>
      </c>
      <c r="E258" s="34" t="inlineStr">
        <is>
          <t>Single Jump (258)</t>
        </is>
      </c>
      <c r="F258" s="34" t="n"/>
      <c r="G258" s="34" t="n"/>
      <c r="H258" s="34" t="n"/>
      <c r="I258" s="34" t="n"/>
      <c r="J258" s="16" t="n"/>
    </row>
    <row r="259">
      <c r="B259" s="42" t="n"/>
      <c r="D259" s="12" t="inlineStr">
        <is>
          <t>Cap Throws that work:</t>
        </is>
      </c>
      <c r="E259" s="34" t="inlineStr">
        <is>
          <t>Neutral Throw, Up Throw, Down Throw, Spin Throw</t>
        </is>
      </c>
      <c r="F259" s="34" t="n"/>
      <c r="G259" s="34" t="n"/>
      <c r="H259" s="34" t="n"/>
      <c r="I259" s="34" t="n"/>
      <c r="J259" s="16" t="n"/>
    </row>
    <row r="260">
      <c r="A260" s="43" t="n"/>
      <c r="B260" s="44" t="n"/>
      <c r="C260" s="43" t="n"/>
      <c r="D260" s="19" t="inlineStr">
        <is>
          <t>Other Required:</t>
        </is>
      </c>
      <c r="E260" s="35" t="inlineStr">
        <is>
          <t>None</t>
        </is>
      </c>
      <c r="F260" s="35" t="n"/>
      <c r="G260" s="35" t="n"/>
      <c r="H260" s="35" t="n"/>
      <c r="I260" s="35" t="n"/>
      <c r="J260" s="16" t="n"/>
    </row>
    <row r="261">
      <c r="A261" s="41" t="b">
        <v>1</v>
      </c>
      <c r="B261" s="31" t="inlineStr">
        <is>
          <t>Sand Kingdom: Where the Birds Gather</t>
        </is>
      </c>
      <c r="C261" s="35" t="n"/>
      <c r="D261" s="12" t="inlineStr">
        <is>
          <t>Minimum Jump Height:</t>
        </is>
      </c>
      <c r="E261" s="34" t="inlineStr">
        <is>
          <t>Long Jump</t>
        </is>
      </c>
      <c r="F261" s="34" t="inlineStr">
        <is>
          <t>No Jump Needed</t>
        </is>
      </c>
      <c r="G261" s="34" t="n"/>
      <c r="H261" s="34" t="n"/>
      <c r="I261" s="34" t="n"/>
      <c r="J261" s="16" t="n"/>
    </row>
    <row r="262">
      <c r="B262" s="42" t="n"/>
      <c r="D262" s="12" t="inlineStr">
        <is>
          <t>Cap Throws that work:</t>
        </is>
      </c>
      <c r="E262" s="34" t="inlineStr">
        <is>
          <t>No Cap Throw Needed</t>
        </is>
      </c>
      <c r="F262" s="34" t="inlineStr">
        <is>
          <t>Neutral Throw, Up Throw, Down Throw, Spin Throw</t>
        </is>
      </c>
      <c r="G262" s="34" t="n"/>
      <c r="H262" s="34" t="n"/>
      <c r="I262" s="34" t="n"/>
      <c r="J262" s="16" t="n"/>
    </row>
    <row r="263">
      <c r="A263" s="43" t="n"/>
      <c r="B263" s="44" t="n"/>
      <c r="C263" s="43" t="n"/>
      <c r="D263" s="19" t="inlineStr">
        <is>
          <t>Other Required:</t>
        </is>
      </c>
      <c r="E263" s="35" t="inlineStr">
        <is>
          <t>Ground Pound</t>
        </is>
      </c>
      <c r="F263" s="35" t="inlineStr">
        <is>
          <t>Ground Pound</t>
        </is>
      </c>
      <c r="G263" s="35" t="n"/>
      <c r="H263" s="35" t="n"/>
      <c r="I263" s="35" t="n"/>
      <c r="J263" s="16" t="n"/>
    </row>
    <row r="264">
      <c r="A264" s="41" t="b">
        <v>1</v>
      </c>
      <c r="B264" s="31" t="inlineStr">
        <is>
          <t>Sand Kingdom: Top of a Dune</t>
        </is>
      </c>
      <c r="C264" s="35" t="n"/>
      <c r="D264" s="12" t="inlineStr">
        <is>
          <t>Minimum Jump Height:</t>
        </is>
      </c>
      <c r="E264" s="34" t="inlineStr">
        <is>
          <t>Long Jump</t>
        </is>
      </c>
      <c r="F264" s="34" t="n"/>
      <c r="G264" s="34" t="n"/>
      <c r="H264" s="34" t="n"/>
      <c r="I264" s="34" t="n"/>
      <c r="J264" s="16" t="n"/>
    </row>
    <row r="265">
      <c r="B265" s="42" t="n"/>
      <c r="D265" s="12" t="inlineStr">
        <is>
          <t>Cap Throws that work:</t>
        </is>
      </c>
      <c r="E265" s="34" t="inlineStr">
        <is>
          <t>No Cap Throw Needed</t>
        </is>
      </c>
      <c r="F265" s="34" t="n"/>
      <c r="G265" s="34" t="n"/>
      <c r="H265" s="34" t="n"/>
      <c r="I265" s="34" t="n"/>
      <c r="J265" s="16" t="n"/>
    </row>
    <row r="266">
      <c r="A266" s="43" t="n"/>
      <c r="B266" s="44" t="n"/>
      <c r="C266" s="43" t="n"/>
      <c r="D266" s="19" t="inlineStr">
        <is>
          <t>Other Required:</t>
        </is>
      </c>
      <c r="E266" s="35" t="inlineStr">
        <is>
          <t>Ground Pound</t>
        </is>
      </c>
      <c r="F266" s="35" t="n"/>
      <c r="G266" s="35" t="n"/>
      <c r="H266" s="35" t="n"/>
      <c r="I266" s="35" t="n"/>
      <c r="J266" s="16" t="n"/>
    </row>
    <row r="267">
      <c r="A267" s="41" t="b">
        <v>1</v>
      </c>
      <c r="B267" s="31" t="inlineStr">
        <is>
          <t>Sand Kingdom: Lost in the Luggage</t>
        </is>
      </c>
      <c r="C267" s="35" t="n"/>
      <c r="D267" s="12" t="inlineStr">
        <is>
          <t>Minimum Jump Height:</t>
        </is>
      </c>
      <c r="E267" s="34" t="inlineStr">
        <is>
          <t>Long Jump</t>
        </is>
      </c>
      <c r="F267" s="34" t="n"/>
      <c r="G267" s="34" t="n"/>
      <c r="H267" s="34" t="n"/>
      <c r="I267" s="34" t="n"/>
      <c r="J267" s="16" t="n"/>
    </row>
    <row r="268">
      <c r="B268" s="42" t="n"/>
      <c r="D268" s="12" t="inlineStr">
        <is>
          <t>Cap Throws that work:</t>
        </is>
      </c>
      <c r="E268" s="34" t="inlineStr">
        <is>
          <t>No Cap Throw Needed</t>
        </is>
      </c>
      <c r="F268" s="34" t="n"/>
      <c r="G268" s="34" t="n"/>
      <c r="H268" s="34" t="n"/>
      <c r="I268" s="34" t="n"/>
      <c r="J268" s="16" t="n"/>
    </row>
    <row r="269">
      <c r="A269" s="43" t="n"/>
      <c r="B269" s="44" t="n"/>
      <c r="C269" s="43" t="n"/>
      <c r="D269" s="19" t="inlineStr">
        <is>
          <t>Other Required:</t>
        </is>
      </c>
      <c r="E269" s="35" t="inlineStr">
        <is>
          <t>Ground Pound</t>
        </is>
      </c>
      <c r="F269" s="35" t="n"/>
      <c r="G269" s="35" t="n"/>
      <c r="H269" s="35" t="n"/>
      <c r="I269" s="35" t="n"/>
      <c r="J269" s="16" t="n"/>
    </row>
    <row r="270">
      <c r="A270" s="41" t="b">
        <v>1</v>
      </c>
      <c r="B270" s="31" t="inlineStr">
        <is>
          <t>Sand Kingdom: Bullet Bill Breakthrough</t>
        </is>
      </c>
      <c r="C270" s="35" t="n"/>
      <c r="D270" s="12" t="inlineStr">
        <is>
          <t>Minimum Jump Height:</t>
        </is>
      </c>
      <c r="E270" s="34" t="inlineStr">
        <is>
          <t>Single Jump (258)</t>
        </is>
      </c>
      <c r="F270" s="34" t="n"/>
      <c r="G270" s="34" t="n"/>
      <c r="H270" s="34" t="n"/>
      <c r="I270" s="34" t="n"/>
      <c r="J270" s="16" t="n"/>
    </row>
    <row r="271">
      <c r="B271" s="42" t="n"/>
      <c r="D271" s="12" t="inlineStr">
        <is>
          <t>Cap Throws that work:</t>
        </is>
      </c>
      <c r="E271" s="34" t="inlineStr">
        <is>
          <t>No Cap Throw Needed</t>
        </is>
      </c>
      <c r="F271" s="34" t="n"/>
      <c r="G271" s="34" t="n"/>
      <c r="H271" s="34" t="n"/>
      <c r="I271" s="34" t="n"/>
      <c r="J271" s="16" t="n"/>
    </row>
    <row r="272">
      <c r="A272" s="43" t="n"/>
      <c r="B272" s="44" t="n"/>
      <c r="C272" s="43" t="n"/>
      <c r="D272" s="19" t="inlineStr">
        <is>
          <t>Other Required:</t>
        </is>
      </c>
      <c r="E272" s="35" t="inlineStr">
        <is>
          <t>None</t>
        </is>
      </c>
      <c r="F272" s="35" t="n"/>
      <c r="G272" s="35" t="n"/>
      <c r="H272" s="35" t="n"/>
      <c r="I272" s="35" t="n"/>
      <c r="J272" s="16" t="n"/>
    </row>
    <row r="273">
      <c r="A273" s="41" t="b">
        <v>1</v>
      </c>
      <c r="B273" s="31" t="inlineStr">
        <is>
          <t>Sand Kingdom: Inside a Block Is a Hard Place</t>
        </is>
      </c>
      <c r="C273" s="35" t="n"/>
      <c r="D273" s="12" t="inlineStr">
        <is>
          <t>Minimum Jump Height:</t>
        </is>
      </c>
      <c r="E273" s="34" t="inlineStr">
        <is>
          <t>Single Jump (258)</t>
        </is>
      </c>
      <c r="F273" s="34" t="n"/>
      <c r="G273" s="34" t="n"/>
      <c r="H273" s="34" t="n"/>
      <c r="I273" s="34" t="n"/>
      <c r="J273" s="16" t="n"/>
    </row>
    <row r="274">
      <c r="B274" s="42" t="n"/>
      <c r="D274" s="12" t="inlineStr">
        <is>
          <t>Cap Throws that work:</t>
        </is>
      </c>
      <c r="E274" s="34" t="inlineStr">
        <is>
          <t>No Cap Throw Needed</t>
        </is>
      </c>
      <c r="F274" s="34" t="n"/>
      <c r="G274" s="34" t="n"/>
      <c r="H274" s="34" t="n"/>
      <c r="I274" s="34" t="n"/>
      <c r="J274" s="16" t="n"/>
    </row>
    <row r="275">
      <c r="A275" s="43" t="n"/>
      <c r="B275" s="44" t="n"/>
      <c r="C275" s="43" t="n"/>
      <c r="D275" s="19" t="inlineStr">
        <is>
          <t>Other Required:</t>
        </is>
      </c>
      <c r="E275" s="35" t="inlineStr">
        <is>
          <t>None</t>
        </is>
      </c>
      <c r="F275" s="35" t="n"/>
      <c r="G275" s="35" t="n"/>
      <c r="H275" s="35" t="n"/>
      <c r="I275" s="35" t="n"/>
      <c r="J275" s="16" t="n"/>
    </row>
    <row r="276">
      <c r="A276" s="41" t="b">
        <v>1</v>
      </c>
      <c r="B276" s="31" t="inlineStr">
        <is>
          <t>Sand Kingdom: Bird Traveling the Desert</t>
        </is>
      </c>
      <c r="C276" s="35" t="n"/>
      <c r="D276" s="12" t="inlineStr">
        <is>
          <t>Minimum Jump Height:</t>
        </is>
      </c>
      <c r="E276" s="34" t="inlineStr">
        <is>
          <t>No Jump Needed</t>
        </is>
      </c>
      <c r="F276" s="34" t="n"/>
      <c r="G276" s="34" t="n"/>
      <c r="H276" s="34" t="n"/>
      <c r="I276" s="34" t="n"/>
      <c r="J276" s="16" t="n"/>
    </row>
    <row r="277">
      <c r="B277" s="42" t="n"/>
      <c r="D277" s="12" t="inlineStr">
        <is>
          <t>Cap Throws that work:</t>
        </is>
      </c>
      <c r="E277" s="34" t="inlineStr">
        <is>
          <t>No Cap Throw Needed</t>
        </is>
      </c>
      <c r="F277" s="34" t="n"/>
      <c r="G277" s="34" t="n"/>
      <c r="H277" s="34" t="n"/>
      <c r="I277" s="34" t="n"/>
      <c r="J277" s="16" t="n"/>
    </row>
    <row r="278">
      <c r="A278" s="43" t="n"/>
      <c r="B278" s="44" t="n"/>
      <c r="C278" s="43" t="n"/>
      <c r="D278" s="19" t="inlineStr">
        <is>
          <t>Other Required:</t>
        </is>
      </c>
      <c r="E278" s="35" t="inlineStr">
        <is>
          <t>None</t>
        </is>
      </c>
      <c r="F278" s="35" t="n"/>
      <c r="G278" s="35" t="n"/>
      <c r="H278" s="35" t="n"/>
      <c r="I278" s="35" t="n"/>
      <c r="J278" s="16" t="n"/>
    </row>
    <row r="279">
      <c r="A279" s="41" t="b">
        <v>1</v>
      </c>
      <c r="B279" s="31" t="inlineStr">
        <is>
          <t>Sand Kingdom: Bird Traveling the Wastes</t>
        </is>
      </c>
      <c r="C279" s="35" t="n"/>
      <c r="D279" s="12" t="inlineStr">
        <is>
          <t>Minimum Jump Height:</t>
        </is>
      </c>
      <c r="E279" s="34" t="inlineStr">
        <is>
          <t>No Jump Needed</t>
        </is>
      </c>
      <c r="F279" s="34" t="n"/>
      <c r="G279" s="34" t="n"/>
      <c r="H279" s="34" t="n"/>
      <c r="I279" s="34" t="n"/>
      <c r="J279" s="16" t="n"/>
    </row>
    <row r="280">
      <c r="B280" s="42" t="n"/>
      <c r="D280" s="12" t="inlineStr">
        <is>
          <t>Cap Throws that work:</t>
        </is>
      </c>
      <c r="E280" s="34" t="inlineStr">
        <is>
          <t>No Cap Throw Needed</t>
        </is>
      </c>
      <c r="F280" s="34" t="n"/>
      <c r="G280" s="34" t="n"/>
      <c r="H280" s="34" t="n"/>
      <c r="I280" s="34" t="n"/>
      <c r="J280" s="16" t="n"/>
    </row>
    <row r="281">
      <c r="A281" s="43" t="n"/>
      <c r="B281" s="44" t="n"/>
      <c r="C281" s="43" t="n"/>
      <c r="D281" s="19" t="inlineStr">
        <is>
          <t>Other Required:</t>
        </is>
      </c>
      <c r="E281" s="35" t="inlineStr">
        <is>
          <t>None</t>
        </is>
      </c>
      <c r="F281" s="35" t="n"/>
      <c r="G281" s="35" t="n"/>
      <c r="H281" s="35" t="n"/>
      <c r="I281" s="35" t="n"/>
      <c r="J281" s="16" t="n"/>
    </row>
    <row r="282">
      <c r="A282" s="41" t="b">
        <v>1</v>
      </c>
      <c r="B282" s="31" t="inlineStr">
        <is>
          <t>Sand Kingdom: The Lurker Under the Stone</t>
        </is>
      </c>
      <c r="C282" s="35" t="n"/>
      <c r="D282" s="12" t="inlineStr">
        <is>
          <t>Minimum Jump Height:</t>
        </is>
      </c>
      <c r="E282" s="34" t="inlineStr">
        <is>
          <t>Long Jump</t>
        </is>
      </c>
      <c r="F282" s="34" t="n"/>
      <c r="G282" s="34" t="n"/>
      <c r="H282" s="34" t="n"/>
      <c r="I282" s="34" t="n"/>
      <c r="J282" s="16" t="n"/>
    </row>
    <row r="283">
      <c r="B283" s="42" t="n"/>
      <c r="D283" s="12" t="inlineStr">
        <is>
          <t>Cap Throws that work:</t>
        </is>
      </c>
      <c r="E283" s="34" t="inlineStr">
        <is>
          <t>No Cap Throw Needed</t>
        </is>
      </c>
      <c r="F283" s="34" t="n"/>
      <c r="G283" s="34" t="n"/>
      <c r="H283" s="34" t="n"/>
      <c r="I283" s="34" t="n"/>
      <c r="J283" s="16" t="n"/>
    </row>
    <row r="284">
      <c r="A284" s="43" t="n"/>
      <c r="B284" s="44" t="n"/>
      <c r="C284" s="43" t="n"/>
      <c r="D284" s="19" t="inlineStr">
        <is>
          <t>Other Required:</t>
        </is>
      </c>
      <c r="E284" s="35" t="inlineStr">
        <is>
          <t>Ground Pound</t>
        </is>
      </c>
      <c r="F284" s="35" t="n"/>
      <c r="G284" s="35" t="n"/>
      <c r="H284" s="35" t="n"/>
      <c r="I284" s="35" t="n"/>
      <c r="J284" s="16" t="n"/>
    </row>
    <row r="285">
      <c r="A285" s="41" t="b">
        <v>1</v>
      </c>
      <c r="B285" s="31" t="inlineStr">
        <is>
          <t>Sand Kingdom: The Treasure of Jaxi Ruins</t>
        </is>
      </c>
      <c r="C285" s="35" t="n"/>
      <c r="D285" s="12" t="inlineStr">
        <is>
          <t>Minimum Jump Height:</t>
        </is>
      </c>
      <c r="E285" s="34" t="inlineStr">
        <is>
          <t>Single Jump (258)</t>
        </is>
      </c>
      <c r="F285" s="34" t="inlineStr">
        <is>
          <t>Single Jump (258)</t>
        </is>
      </c>
      <c r="G285" s="34" t="n"/>
      <c r="H285" s="34" t="n"/>
      <c r="I285" s="34" t="n"/>
      <c r="J285" s="16" t="n"/>
    </row>
    <row r="286">
      <c r="B286" s="42" t="n"/>
      <c r="D286" s="12" t="inlineStr">
        <is>
          <t>Cap Throws that work:</t>
        </is>
      </c>
      <c r="E286" s="34" t="inlineStr">
        <is>
          <t>Neutral Throw, Up Throw, Down Throw, Spin Throw</t>
        </is>
      </c>
      <c r="F286" s="34" t="inlineStr">
        <is>
          <t>Neutral Throw</t>
        </is>
      </c>
      <c r="G286" s="34" t="n"/>
      <c r="H286" s="34" t="n"/>
      <c r="I286" s="34" t="n"/>
      <c r="J286" s="16" t="n"/>
    </row>
    <row r="287">
      <c r="A287" s="43" t="n"/>
      <c r="B287" s="44" t="n"/>
      <c r="C287" s="43" t="n"/>
      <c r="D287" s="19" t="inlineStr">
        <is>
          <t>Other Required:</t>
        </is>
      </c>
      <c r="E287" s="35" t="inlineStr">
        <is>
          <t>Capture, Wall Slide, Dive</t>
        </is>
      </c>
      <c r="F287" s="35" t="inlineStr">
        <is>
          <t>Wall Slide</t>
        </is>
      </c>
      <c r="G287" s="35" t="n"/>
      <c r="H287" s="35" t="n"/>
      <c r="I287" s="35" t="n"/>
      <c r="J287" s="16" t="n"/>
    </row>
    <row r="288">
      <c r="A288" s="41" t="b">
        <v>1</v>
      </c>
      <c r="B288" s="31" t="inlineStr">
        <is>
          <t>Sand Kingdom: Desert Gardening: Plaza Seed</t>
        </is>
      </c>
      <c r="C288" s="35" t="n"/>
      <c r="D288" s="12" t="inlineStr">
        <is>
          <t>Minimum Jump Height:</t>
        </is>
      </c>
      <c r="E288" s="34" t="inlineStr">
        <is>
          <t>Long Jump</t>
        </is>
      </c>
      <c r="F288" s="34" t="inlineStr">
        <is>
          <t>No Jump Needed</t>
        </is>
      </c>
      <c r="G288" s="34" t="inlineStr">
        <is>
          <t>No Jump Needed</t>
        </is>
      </c>
      <c r="H288" s="34" t="n"/>
      <c r="I288" s="34" t="n"/>
      <c r="J288" s="16" t="n"/>
    </row>
    <row r="289">
      <c r="B289" s="42" t="n"/>
      <c r="D289" s="12" t="inlineStr">
        <is>
          <t>Cap Throws that work:</t>
        </is>
      </c>
      <c r="E289" s="34" t="inlineStr">
        <is>
          <t>No Cap Throw Needed</t>
        </is>
      </c>
      <c r="F289" s="34" t="inlineStr">
        <is>
          <t>Neutral Throw, Up Throw, Down Throw, Spin Throw</t>
        </is>
      </c>
      <c r="G289" s="34" t="inlineStr">
        <is>
          <t>No Cap Throw Needed</t>
        </is>
      </c>
      <c r="H289" s="34" t="n"/>
      <c r="I289" s="34" t="n"/>
      <c r="J289" s="16" t="n"/>
    </row>
    <row r="290">
      <c r="A290" s="43" t="n"/>
      <c r="B290" s="44" t="n"/>
      <c r="C290" s="43" t="n"/>
      <c r="D290" s="19" t="inlineStr">
        <is>
          <t>Other Required:</t>
        </is>
      </c>
      <c r="E290" s="35" t="inlineStr">
        <is>
          <t>None</t>
        </is>
      </c>
      <c r="F290" s="35" t="inlineStr">
        <is>
          <t>None</t>
        </is>
      </c>
      <c r="G290" s="35" t="inlineStr">
        <is>
          <t>Roll</t>
        </is>
      </c>
      <c r="H290" s="35" t="n"/>
      <c r="I290" s="35" t="n"/>
      <c r="J290" s="16" t="n"/>
    </row>
    <row r="291">
      <c r="A291" s="41" t="b">
        <v>1</v>
      </c>
      <c r="B291" s="31" t="inlineStr">
        <is>
          <t>Sand Kingdom: Desert Gardening: Ruins Seed</t>
        </is>
      </c>
      <c r="C291" s="35" t="n"/>
      <c r="D291" s="12" t="inlineStr">
        <is>
          <t>Minimum Jump Height:</t>
        </is>
      </c>
      <c r="E291" s="34" t="inlineStr">
        <is>
          <t>Long Jump</t>
        </is>
      </c>
      <c r="F291" s="34" t="inlineStr">
        <is>
          <t>No Jump Needed</t>
        </is>
      </c>
      <c r="G291" s="34" t="inlineStr">
        <is>
          <t>No Jump Needed</t>
        </is>
      </c>
      <c r="H291" s="34" t="n"/>
      <c r="I291" s="34" t="n"/>
      <c r="J291" s="16" t="n"/>
    </row>
    <row r="292">
      <c r="B292" s="42" t="n"/>
      <c r="D292" s="12" t="inlineStr">
        <is>
          <t>Cap Throws that work:</t>
        </is>
      </c>
      <c r="E292" s="34" t="inlineStr">
        <is>
          <t>No Cap Throw Needed</t>
        </is>
      </c>
      <c r="F292" s="34" t="inlineStr">
        <is>
          <t>Neutral Throw, Up Throw, Down Throw, Spin Throw</t>
        </is>
      </c>
      <c r="G292" s="34" t="inlineStr">
        <is>
          <t>No Cap Throw Needed</t>
        </is>
      </c>
      <c r="H292" s="34" t="n"/>
      <c r="I292" s="34" t="n"/>
      <c r="J292" s="16" t="n"/>
    </row>
    <row r="293">
      <c r="A293" s="43" t="n"/>
      <c r="B293" s="44" t="n"/>
      <c r="C293" s="43" t="n"/>
      <c r="D293" s="19" t="inlineStr">
        <is>
          <t>Other Required:</t>
        </is>
      </c>
      <c r="E293" s="35" t="inlineStr">
        <is>
          <t>None</t>
        </is>
      </c>
      <c r="F293" s="35" t="inlineStr">
        <is>
          <t>None</t>
        </is>
      </c>
      <c r="G293" s="35" t="inlineStr">
        <is>
          <t>Roll</t>
        </is>
      </c>
      <c r="H293" s="35" t="n"/>
      <c r="I293" s="35" t="n"/>
      <c r="J293" s="16" t="n"/>
    </row>
    <row r="294">
      <c r="A294" s="41" t="b">
        <v>1</v>
      </c>
      <c r="B294" s="31" t="inlineStr">
        <is>
          <t>Sand Kingdom: Desert Gardening: Seed on the Cliff</t>
        </is>
      </c>
      <c r="C294" s="35" t="n"/>
      <c r="D294" s="12" t="inlineStr">
        <is>
          <t>Minimum Jump Height:</t>
        </is>
      </c>
      <c r="E294" s="34" t="inlineStr">
        <is>
          <t>Long Jump</t>
        </is>
      </c>
      <c r="F294" s="34" t="inlineStr">
        <is>
          <t>No Jump Needed</t>
        </is>
      </c>
      <c r="G294" s="34" t="inlineStr">
        <is>
          <t>No Jump Needed</t>
        </is>
      </c>
      <c r="H294" s="34" t="n"/>
      <c r="I294" s="34" t="n"/>
      <c r="J294" s="16" t="n"/>
    </row>
    <row r="295">
      <c r="B295" s="42" t="n"/>
      <c r="D295" s="12" t="inlineStr">
        <is>
          <t>Cap Throws that work:</t>
        </is>
      </c>
      <c r="E295" s="34" t="inlineStr">
        <is>
          <t>No Cap Throw Needed</t>
        </is>
      </c>
      <c r="F295" s="34" t="inlineStr">
        <is>
          <t>Neutral Throw, Up Throw, Down Throw, Spin Throw</t>
        </is>
      </c>
      <c r="G295" s="34" t="inlineStr">
        <is>
          <t>No Cap Throw Needed</t>
        </is>
      </c>
      <c r="H295" s="34" t="n"/>
      <c r="I295" s="34" t="n"/>
      <c r="J295" s="16" t="n"/>
    </row>
    <row r="296">
      <c r="A296" s="43" t="n"/>
      <c r="B296" s="44" t="n"/>
      <c r="C296" s="43" t="n"/>
      <c r="D296" s="19" t="inlineStr">
        <is>
          <t>Other Required:</t>
        </is>
      </c>
      <c r="E296" s="35" t="inlineStr">
        <is>
          <t>Wall Slide</t>
        </is>
      </c>
      <c r="F296" s="35" t="inlineStr">
        <is>
          <t>None</t>
        </is>
      </c>
      <c r="G296" s="35" t="inlineStr">
        <is>
          <t>Roll</t>
        </is>
      </c>
      <c r="H296" s="35" t="n"/>
      <c r="I296" s="35" t="n"/>
      <c r="J296" s="16" t="n"/>
    </row>
    <row r="297">
      <c r="A297" s="41" t="b">
        <v>1</v>
      </c>
      <c r="B297" s="31" t="inlineStr">
        <is>
          <t>Sand Kingdom: Sand Kingdom Timer Challenge 1</t>
        </is>
      </c>
      <c r="C297" s="35" t="n"/>
      <c r="D297" s="12" t="inlineStr">
        <is>
          <t>Minimum Jump Height:</t>
        </is>
      </c>
      <c r="E297" s="34" t="inlineStr">
        <is>
          <t>Double Jump (312)</t>
        </is>
      </c>
      <c r="F297" s="34" t="inlineStr">
        <is>
          <t>Single Jump (258)</t>
        </is>
      </c>
      <c r="G297" s="34" t="n"/>
      <c r="H297" s="34" t="n"/>
      <c r="I297" s="34" t="n"/>
      <c r="J297" s="16" t="n"/>
    </row>
    <row r="298">
      <c r="B298" s="42" t="n"/>
      <c r="D298" s="12" t="inlineStr">
        <is>
          <t>Cap Throws that work:</t>
        </is>
      </c>
      <c r="E298" s="34" t="inlineStr">
        <is>
          <t>Neutral Throw, Up Throw, Down Throw, Spin Throw</t>
        </is>
      </c>
      <c r="F298" s="34" t="inlineStr">
        <is>
          <t>Neutral Throw, Up Throw, Down Throw, Spin Throw</t>
        </is>
      </c>
      <c r="G298" s="34" t="n"/>
      <c r="H298" s="34" t="n"/>
      <c r="I298" s="34" t="n"/>
      <c r="J298" s="16" t="n"/>
    </row>
    <row r="299">
      <c r="A299" s="43" t="n"/>
      <c r="B299" s="44" t="n"/>
      <c r="C299" s="43" t="n"/>
      <c r="D299" s="19" t="inlineStr">
        <is>
          <t>Other Required:</t>
        </is>
      </c>
      <c r="E299" s="35" t="inlineStr">
        <is>
          <t>Wall Slide</t>
        </is>
      </c>
      <c r="F299" s="35" t="inlineStr">
        <is>
          <t>Roll, Wall Slide</t>
        </is>
      </c>
      <c r="G299" s="35" t="n"/>
      <c r="H299" s="35" t="n"/>
      <c r="I299" s="35" t="n"/>
      <c r="J299" s="16" t="n"/>
    </row>
    <row r="300">
      <c r="A300" s="41" t="b">
        <v>1</v>
      </c>
      <c r="B300" s="31" t="inlineStr">
        <is>
          <t>Sand Kingdom: Sand Kingdom Timer Challenge 2</t>
        </is>
      </c>
      <c r="C300" s="35" t="n"/>
      <c r="D300" s="12" t="inlineStr">
        <is>
          <t>Minimum Jump Height:</t>
        </is>
      </c>
      <c r="E300" s="34" t="inlineStr">
        <is>
          <t>Long Jump</t>
        </is>
      </c>
      <c r="F300" s="34" t="n"/>
      <c r="G300" s="34" t="n"/>
      <c r="H300" s="34" t="n"/>
      <c r="I300" s="34" t="n"/>
      <c r="J300" s="16" t="n"/>
    </row>
    <row r="301">
      <c r="B301" s="42" t="n"/>
      <c r="D301" s="12" t="inlineStr">
        <is>
          <t>Cap Throws that work:</t>
        </is>
      </c>
      <c r="E301" s="34" t="inlineStr">
        <is>
          <t>No Cap Throw Needed</t>
        </is>
      </c>
      <c r="F301" s="34" t="n"/>
      <c r="G301" s="34" t="n"/>
      <c r="H301" s="34" t="n"/>
      <c r="I301" s="34" t="n"/>
      <c r="J301" s="16" t="n"/>
    </row>
    <row r="302">
      <c r="A302" s="43" t="n"/>
      <c r="B302" s="44" t="n"/>
      <c r="C302" s="43" t="n"/>
      <c r="D302" s="19" t="inlineStr">
        <is>
          <t>Other Required:</t>
        </is>
      </c>
      <c r="E302" s="35" t="inlineStr">
        <is>
          <t>None</t>
        </is>
      </c>
      <c r="F302" s="35" t="n"/>
      <c r="G302" s="35" t="n"/>
      <c r="H302" s="35" t="n"/>
      <c r="I302" s="35" t="n"/>
      <c r="J302" s="16" t="n"/>
    </row>
    <row r="303">
      <c r="A303" s="41" t="b">
        <v>1</v>
      </c>
      <c r="B303" s="31" t="inlineStr">
        <is>
          <t>Sand Kingdom: Sand Kingdom Timer Challenge 3</t>
        </is>
      </c>
      <c r="C303" s="35" t="n"/>
      <c r="D303" s="12" t="inlineStr">
        <is>
          <t>Minimum Jump Height:</t>
        </is>
      </c>
      <c r="E303" s="34" t="inlineStr">
        <is>
          <t>No Jump Needed</t>
        </is>
      </c>
      <c r="F303" s="34" t="n"/>
      <c r="G303" s="34" t="n"/>
      <c r="H303" s="34" t="n"/>
      <c r="I303" s="34" t="n"/>
      <c r="J303" s="16" t="n"/>
    </row>
    <row r="304">
      <c r="B304" s="42" t="n"/>
      <c r="D304" s="12" t="inlineStr">
        <is>
          <t>Cap Throws that work:</t>
        </is>
      </c>
      <c r="E304" s="34" t="inlineStr">
        <is>
          <t>Neutral Throw</t>
        </is>
      </c>
      <c r="F304" s="34" t="n"/>
      <c r="G304" s="34" t="n"/>
      <c r="H304" s="34" t="n"/>
      <c r="I304" s="34" t="n"/>
      <c r="J304" s="16" t="n"/>
    </row>
    <row r="305">
      <c r="A305" s="43" t="n"/>
      <c r="B305" s="44" t="n"/>
      <c r="C305" s="43" t="n"/>
      <c r="D305" s="19" t="inlineStr">
        <is>
          <t>Other Required:</t>
        </is>
      </c>
      <c r="E305" s="35" t="inlineStr">
        <is>
          <t>None</t>
        </is>
      </c>
      <c r="F305" s="35" t="n"/>
      <c r="G305" s="35" t="n"/>
      <c r="H305" s="35" t="n"/>
      <c r="I305" s="35" t="n"/>
      <c r="J305" s="16" t="n"/>
    </row>
    <row r="306">
      <c r="A306" s="41" t="b">
        <v>1</v>
      </c>
      <c r="B306" s="31" t="inlineStr">
        <is>
          <t>Sand Kingdom: Found in the Sand! Good Dog!</t>
        </is>
      </c>
      <c r="C306" s="35" t="n"/>
      <c r="D306" s="12" t="inlineStr">
        <is>
          <t>Minimum Jump Height:</t>
        </is>
      </c>
      <c r="E306" s="34" t="inlineStr">
        <is>
          <t>Long Jump</t>
        </is>
      </c>
      <c r="F306" s="34" t="inlineStr">
        <is>
          <t>No Jump Needed</t>
        </is>
      </c>
      <c r="G306" s="34" t="n"/>
      <c r="H306" s="34" t="n"/>
      <c r="I306" s="34" t="n"/>
      <c r="J306" s="16" t="n"/>
    </row>
    <row r="307">
      <c r="B307" s="42" t="n"/>
      <c r="D307" s="12" t="inlineStr">
        <is>
          <t>Cap Throws that work:</t>
        </is>
      </c>
      <c r="E307" s="34" t="inlineStr">
        <is>
          <t>No Cap Throw Needed</t>
        </is>
      </c>
      <c r="F307" s="34" t="inlineStr">
        <is>
          <t>No Cap Throw Needed</t>
        </is>
      </c>
      <c r="G307" s="34" t="n"/>
      <c r="H307" s="34" t="n"/>
      <c r="I307" s="34" t="n"/>
      <c r="J307" s="16" t="n"/>
    </row>
    <row r="308">
      <c r="A308" s="43" t="n"/>
      <c r="B308" s="44" t="n"/>
      <c r="C308" s="43" t="n"/>
      <c r="D308" s="19" t="inlineStr">
        <is>
          <t>Other Required:</t>
        </is>
      </c>
      <c r="E308" s="35" t="inlineStr">
        <is>
          <t>Ground Pound</t>
        </is>
      </c>
      <c r="F308" s="35" t="inlineStr">
        <is>
          <t>Roll, Ground Pound</t>
        </is>
      </c>
      <c r="G308" s="35" t="n"/>
      <c r="H308" s="35" t="n"/>
      <c r="I308" s="35" t="n"/>
      <c r="J308" s="16" t="n"/>
    </row>
    <row r="309">
      <c r="A309" s="41" t="b">
        <v>1</v>
      </c>
      <c r="B309" s="31" t="inlineStr">
        <is>
          <t>Sand Kingdom: Taking Notes: Jump on the Palm</t>
        </is>
      </c>
      <c r="C309" s="35" t="n"/>
      <c r="D309" s="12" t="inlineStr">
        <is>
          <t>Minimum Jump Height:</t>
        </is>
      </c>
      <c r="E309" s="34" t="inlineStr">
        <is>
          <t>Long Jump</t>
        </is>
      </c>
      <c r="F309" s="34" t="n"/>
      <c r="G309" s="34" t="n"/>
      <c r="H309" s="34" t="n"/>
      <c r="I309" s="34" t="n"/>
      <c r="J309" s="16" t="n"/>
    </row>
    <row r="310">
      <c r="B310" s="42" t="n"/>
      <c r="D310" s="12" t="inlineStr">
        <is>
          <t>Cap Throws that work:</t>
        </is>
      </c>
      <c r="E310" s="34" t="inlineStr">
        <is>
          <t>No Cap Throw Needed</t>
        </is>
      </c>
      <c r="F310" s="34" t="n"/>
      <c r="G310" s="34" t="n"/>
      <c r="H310" s="34" t="n"/>
      <c r="I310" s="34" t="n"/>
      <c r="J310" s="16" t="n"/>
    </row>
    <row r="311">
      <c r="A311" s="43" t="n"/>
      <c r="B311" s="44" t="n"/>
      <c r="C311" s="43" t="n"/>
      <c r="D311" s="19" t="inlineStr">
        <is>
          <t>Other Required:</t>
        </is>
      </c>
      <c r="E311" s="35" t="inlineStr">
        <is>
          <t>Climb</t>
        </is>
      </c>
      <c r="F311" s="35" t="n"/>
      <c r="G311" s="35" t="n"/>
      <c r="H311" s="35" t="n"/>
      <c r="I311" s="35" t="n"/>
      <c r="J311" s="16" t="n"/>
    </row>
    <row r="312">
      <c r="A312" s="41" t="b">
        <v>1</v>
      </c>
      <c r="B312" s="31" t="inlineStr">
        <is>
          <t>Sand Kingdom: Herding Sheep in the Dunes</t>
        </is>
      </c>
      <c r="C312" s="35" t="n"/>
      <c r="D312" s="12" t="inlineStr">
        <is>
          <t>Minimum Jump Height:</t>
        </is>
      </c>
      <c r="E312" s="34" t="inlineStr">
        <is>
          <t>No Jump Needed</t>
        </is>
      </c>
      <c r="F312" s="34" t="n"/>
      <c r="G312" s="34" t="n"/>
      <c r="H312" s="34" t="n"/>
      <c r="I312" s="34" t="n"/>
      <c r="J312" s="16" t="n"/>
    </row>
    <row r="313">
      <c r="B313" s="42" t="n"/>
      <c r="D313" s="12" t="inlineStr">
        <is>
          <t>Cap Throws that work:</t>
        </is>
      </c>
      <c r="E313" s="34" t="inlineStr">
        <is>
          <t>No Cap Throw Needed</t>
        </is>
      </c>
      <c r="F313" s="34" t="n"/>
      <c r="G313" s="34" t="n"/>
      <c r="H313" s="34" t="n"/>
      <c r="I313" s="34" t="n"/>
      <c r="J313" s="16" t="n"/>
    </row>
    <row r="314">
      <c r="A314" s="43" t="n"/>
      <c r="B314" s="44" t="n"/>
      <c r="C314" s="43" t="n"/>
      <c r="D314" s="19" t="inlineStr">
        <is>
          <t>Other Required:</t>
        </is>
      </c>
      <c r="E314" s="35" t="inlineStr">
        <is>
          <t>None</t>
        </is>
      </c>
      <c r="F314" s="35" t="n"/>
      <c r="G314" s="35" t="n"/>
      <c r="H314" s="35" t="n"/>
      <c r="I314" s="35" t="n"/>
      <c r="J314" s="16" t="n"/>
    </row>
    <row r="315">
      <c r="A315" s="41" t="b">
        <v>1</v>
      </c>
      <c r="B315" s="31" t="inlineStr">
        <is>
          <t>Sand Kingdom: Fishing in the Oasis</t>
        </is>
      </c>
      <c r="C315" s="35" t="inlineStr">
        <is>
          <t>Lakitu</t>
        </is>
      </c>
      <c r="D315" s="12" t="inlineStr">
        <is>
          <t>Minimum Jump Height:</t>
        </is>
      </c>
      <c r="E315" s="34" t="inlineStr">
        <is>
          <t>No Jump Needed</t>
        </is>
      </c>
      <c r="F315" s="34" t="n"/>
      <c r="G315" s="34" t="n"/>
      <c r="H315" s="34" t="n"/>
      <c r="I315" s="34" t="n"/>
      <c r="J315" s="16" t="n"/>
    </row>
    <row r="316">
      <c r="B316" s="42" t="n"/>
      <c r="D316" s="12" t="inlineStr">
        <is>
          <t>Cap Throws that work:</t>
        </is>
      </c>
      <c r="E316" s="34" t="inlineStr">
        <is>
          <t>Neutral Throw, Up Throw, Down Throw, Spin Throw</t>
        </is>
      </c>
      <c r="F316" s="34" t="n"/>
      <c r="G316" s="34" t="n"/>
      <c r="H316" s="34" t="n"/>
      <c r="I316" s="34" t="n"/>
      <c r="J316" s="16" t="n"/>
    </row>
    <row r="317">
      <c r="A317" s="43" t="n"/>
      <c r="B317" s="44" t="n"/>
      <c r="C317" s="43" t="n"/>
      <c r="D317" s="19" t="inlineStr">
        <is>
          <t>Other Required:</t>
        </is>
      </c>
      <c r="E317" s="35" t="inlineStr">
        <is>
          <t>Capture</t>
        </is>
      </c>
      <c r="F317" s="35" t="n"/>
      <c r="G317" s="35" t="n"/>
      <c r="H317" s="35" t="n"/>
      <c r="I317" s="35" t="n"/>
      <c r="J317" s="16" t="n"/>
    </row>
    <row r="318">
      <c r="A318" s="41" t="b">
        <v>1</v>
      </c>
      <c r="B318" s="31" t="inlineStr">
        <is>
          <t>Sand Kingdom: Love in the Heart of the Desert</t>
        </is>
      </c>
      <c r="C318" s="35" t="inlineStr">
        <is>
          <t>Goomba</t>
        </is>
      </c>
      <c r="D318" s="12" t="inlineStr">
        <is>
          <t>Minimum Jump Height:</t>
        </is>
      </c>
      <c r="E318" s="34" t="inlineStr">
        <is>
          <t>No Jump Needed</t>
        </is>
      </c>
      <c r="F318" s="34" t="n"/>
      <c r="G318" s="34" t="n"/>
      <c r="H318" s="34" t="n"/>
      <c r="I318" s="34" t="n"/>
      <c r="J318" s="16" t="n"/>
    </row>
    <row r="319">
      <c r="B319" s="42" t="n"/>
      <c r="D319" s="12" t="inlineStr">
        <is>
          <t>Cap Throws that work:</t>
        </is>
      </c>
      <c r="E319" s="34" t="inlineStr">
        <is>
          <t>No Cap Throw Needed</t>
        </is>
      </c>
      <c r="F319" s="34" t="n"/>
      <c r="G319" s="34" t="n"/>
      <c r="H319" s="34" t="n"/>
      <c r="I319" s="34" t="n"/>
      <c r="J319" s="16" t="n"/>
    </row>
    <row r="320">
      <c r="A320" s="43" t="n"/>
      <c r="B320" s="44" t="n"/>
      <c r="C320" s="43" t="n"/>
      <c r="D320" s="19" t="inlineStr">
        <is>
          <t>Other Required:</t>
        </is>
      </c>
      <c r="E320" s="35" t="inlineStr">
        <is>
          <t>Capture</t>
        </is>
      </c>
      <c r="F320" s="35" t="n"/>
      <c r="G320" s="35" t="n"/>
      <c r="H320" s="35" t="n"/>
      <c r="I320" s="35" t="n"/>
      <c r="J320" s="16" t="n"/>
    </row>
    <row r="321">
      <c r="A321" s="41" t="b">
        <v>1</v>
      </c>
      <c r="B321" s="31" t="inlineStr">
        <is>
          <t>Sand Kingdom: Among the Five Cactuses</t>
        </is>
      </c>
      <c r="C321" s="35" t="n"/>
      <c r="D321" s="12" t="inlineStr">
        <is>
          <t>Minimum Jump Height:</t>
        </is>
      </c>
      <c r="E321" s="34" t="inlineStr">
        <is>
          <t>No Jump Needed</t>
        </is>
      </c>
      <c r="F321" s="34" t="n"/>
      <c r="G321" s="34" t="n"/>
      <c r="H321" s="34" t="n"/>
      <c r="I321" s="34" t="n"/>
      <c r="J321" s="16" t="n"/>
    </row>
    <row r="322">
      <c r="B322" s="42" t="n"/>
      <c r="D322" s="12" t="inlineStr">
        <is>
          <t>Cap Throws that work:</t>
        </is>
      </c>
      <c r="E322" s="34" t="inlineStr">
        <is>
          <t>Neutral Throw</t>
        </is>
      </c>
      <c r="F322" s="34" t="n"/>
      <c r="G322" s="34" t="n"/>
      <c r="H322" s="34" t="n"/>
      <c r="I322" s="34" t="n"/>
      <c r="J322" s="16" t="n"/>
    </row>
    <row r="323">
      <c r="A323" s="43" t="n"/>
      <c r="B323" s="44" t="n"/>
      <c r="C323" s="43" t="n"/>
      <c r="D323" s="19" t="inlineStr">
        <is>
          <t>Other Required:</t>
        </is>
      </c>
      <c r="E323" s="35" t="inlineStr">
        <is>
          <t>None</t>
        </is>
      </c>
      <c r="F323" s="35" t="n"/>
      <c r="G323" s="35" t="n"/>
      <c r="H323" s="35" t="n"/>
      <c r="I323" s="35" t="n"/>
      <c r="J323" s="16" t="n"/>
    </row>
    <row r="324">
      <c r="A324" s="41" t="b">
        <v>1</v>
      </c>
      <c r="B324" s="31" t="inlineStr">
        <is>
          <t>Sand Kingdom: You're Quite a Catch, Captain Toad!</t>
        </is>
      </c>
      <c r="C324" s="35" t="inlineStr">
        <is>
          <t>Lakitu</t>
        </is>
      </c>
      <c r="D324" s="12" t="inlineStr">
        <is>
          <t>Minimum Jump Height:</t>
        </is>
      </c>
      <c r="E324" s="34" t="inlineStr">
        <is>
          <t>No Jump Needed</t>
        </is>
      </c>
      <c r="F324" s="34" t="n"/>
      <c r="G324" s="34" t="n"/>
      <c r="H324" s="34" t="n"/>
      <c r="I324" s="34" t="n"/>
      <c r="J324" s="16" t="n"/>
    </row>
    <row r="325">
      <c r="B325" s="42" t="n"/>
      <c r="D325" s="12" t="inlineStr">
        <is>
          <t>Cap Throws that work:</t>
        </is>
      </c>
      <c r="E325" s="34" t="inlineStr">
        <is>
          <t>Neutral Throw, Up Throw, Down Throw, Spin Throw</t>
        </is>
      </c>
      <c r="F325" s="34" t="n"/>
      <c r="G325" s="34" t="n"/>
      <c r="H325" s="34" t="n"/>
      <c r="I325" s="34" t="n"/>
      <c r="J325" s="16" t="n"/>
    </row>
    <row r="326">
      <c r="A326" s="43" t="n"/>
      <c r="B326" s="44" t="n"/>
      <c r="C326" s="43" t="n"/>
      <c r="D326" s="19" t="inlineStr">
        <is>
          <t>Other Required:</t>
        </is>
      </c>
      <c r="E326" s="35" t="inlineStr">
        <is>
          <t>Capture</t>
        </is>
      </c>
      <c r="F326" s="35" t="n"/>
      <c r="G326" s="35" t="n"/>
      <c r="H326" s="35" t="n"/>
      <c r="I326" s="35" t="n"/>
      <c r="J326" s="16" t="n"/>
    </row>
    <row r="327">
      <c r="A327" s="41" t="b">
        <v>1</v>
      </c>
      <c r="B327" s="31" t="inlineStr">
        <is>
          <t>Sand Kingdom: Jaxi Reunion!</t>
        </is>
      </c>
      <c r="C327" s="35" t="n"/>
      <c r="D327" s="12" t="inlineStr">
        <is>
          <t>Minimum Jump Height:</t>
        </is>
      </c>
      <c r="E327" s="34" t="inlineStr">
        <is>
          <t>No Jump Needed</t>
        </is>
      </c>
      <c r="F327" s="34" t="n"/>
      <c r="G327" s="34" t="n"/>
      <c r="H327" s="34" t="n"/>
      <c r="I327" s="34" t="n"/>
      <c r="J327" s="16" t="n"/>
    </row>
    <row r="328">
      <c r="B328" s="42" t="n"/>
      <c r="D328" s="12" t="inlineStr">
        <is>
          <t>Cap Throws that work:</t>
        </is>
      </c>
      <c r="E328" s="34" t="inlineStr">
        <is>
          <t>No Cap Throw Needed</t>
        </is>
      </c>
      <c r="F328" s="34" t="n"/>
      <c r="G328" s="34" t="n"/>
      <c r="H328" s="34" t="n"/>
      <c r="I328" s="34" t="n"/>
      <c r="J328" s="16" t="n"/>
    </row>
    <row r="329">
      <c r="A329" s="43" t="n"/>
      <c r="B329" s="44" t="n"/>
      <c r="C329" s="43" t="n"/>
      <c r="D329" s="19" t="inlineStr">
        <is>
          <t>Other Required:</t>
        </is>
      </c>
      <c r="E329" s="35" t="inlineStr">
        <is>
          <t>None</t>
        </is>
      </c>
      <c r="F329" s="35" t="n"/>
      <c r="G329" s="35" t="n"/>
      <c r="H329" s="35" t="n"/>
      <c r="I329" s="35" t="n"/>
      <c r="J329" s="16" t="n"/>
    </row>
    <row r="330">
      <c r="A330" s="41" t="b">
        <v>1</v>
      </c>
      <c r="B330" s="31" t="inlineStr">
        <is>
          <t>Sand Kingdom: Welcome Back, !</t>
        </is>
      </c>
      <c r="C330" s="35" t="n"/>
      <c r="D330" s="12" t="inlineStr">
        <is>
          <t>Minimum Jump Height:</t>
        </is>
      </c>
      <c r="E330" s="34" t="inlineStr">
        <is>
          <t>No Jump Needed</t>
        </is>
      </c>
      <c r="F330" s="34" t="n"/>
      <c r="G330" s="34" t="n"/>
      <c r="H330" s="34" t="n"/>
      <c r="I330" s="34" t="n"/>
      <c r="J330" s="16" t="n"/>
    </row>
    <row r="331">
      <c r="B331" s="42" t="n"/>
      <c r="D331" s="12" t="inlineStr">
        <is>
          <t>Cap Throws that work:</t>
        </is>
      </c>
      <c r="E331" s="34" t="inlineStr">
        <is>
          <t>No Cap Throw Needed</t>
        </is>
      </c>
      <c r="F331" s="34" t="n"/>
      <c r="G331" s="34" t="n"/>
      <c r="H331" s="34" t="n"/>
      <c r="I331" s="34" t="n"/>
      <c r="J331" s="16" t="n"/>
    </row>
    <row r="332">
      <c r="A332" s="43" t="n"/>
      <c r="B332" s="44" t="n"/>
      <c r="C332" s="43" t="n"/>
      <c r="D332" s="19" t="inlineStr">
        <is>
          <t>Other Required:</t>
        </is>
      </c>
      <c r="E332" s="35" t="inlineStr">
        <is>
          <t>None</t>
        </is>
      </c>
      <c r="F332" s="35" t="n"/>
      <c r="G332" s="35" t="n"/>
      <c r="H332" s="35" t="n"/>
      <c r="I332" s="35" t="n"/>
      <c r="J332" s="16" t="n"/>
    </row>
    <row r="333">
      <c r="A333" s="41" t="b">
        <v>1</v>
      </c>
      <c r="B333" s="31" t="inlineStr">
        <is>
          <t>Sand Kingdom: Wandering Cactus</t>
        </is>
      </c>
      <c r="C333" s="35" t="inlineStr">
        <is>
          <t>Cactus</t>
        </is>
      </c>
      <c r="D333" s="12" t="inlineStr">
        <is>
          <t>Minimum Jump Height:</t>
        </is>
      </c>
      <c r="E333" s="34" t="inlineStr">
        <is>
          <t>No Jump Needed</t>
        </is>
      </c>
      <c r="F333" s="34" t="n"/>
      <c r="G333" s="34" t="n"/>
      <c r="H333" s="34" t="n"/>
      <c r="I333" s="34" t="n"/>
      <c r="J333" s="16" t="n"/>
    </row>
    <row r="334">
      <c r="B334" s="42" t="n"/>
      <c r="D334" s="12" t="inlineStr">
        <is>
          <t>Cap Throws that work:</t>
        </is>
      </c>
      <c r="E334" s="34" t="inlineStr">
        <is>
          <t>No Cap Throw Needed</t>
        </is>
      </c>
      <c r="F334" s="34" t="n"/>
      <c r="G334" s="34" t="n"/>
      <c r="H334" s="34" t="n"/>
      <c r="I334" s="34" t="n"/>
      <c r="J334" s="16" t="n"/>
    </row>
    <row r="335">
      <c r="A335" s="43" t="n"/>
      <c r="B335" s="44" t="n"/>
      <c r="C335" s="43" t="n"/>
      <c r="D335" s="19" t="inlineStr">
        <is>
          <t>Other Required:</t>
        </is>
      </c>
      <c r="E335" s="35" t="inlineStr">
        <is>
          <t>Ground Pound, Capture</t>
        </is>
      </c>
      <c r="F335" s="35" t="n"/>
      <c r="G335" s="35" t="n"/>
      <c r="H335" s="35" t="n"/>
      <c r="I335" s="35" t="n"/>
      <c r="J335" s="16" t="n"/>
    </row>
    <row r="336">
      <c r="A336" s="41" t="b">
        <v>1</v>
      </c>
      <c r="B336" s="31" t="inlineStr">
        <is>
          <t>Sand Kingdom: Sand Quiz: Wonderful!</t>
        </is>
      </c>
      <c r="C336" s="35" t="n"/>
      <c r="D336" s="12" t="inlineStr">
        <is>
          <t>Minimum Jump Height:</t>
        </is>
      </c>
      <c r="E336" s="34" t="inlineStr">
        <is>
          <t>No Jump Needed</t>
        </is>
      </c>
      <c r="F336" s="34" t="n"/>
      <c r="G336" s="34" t="n"/>
      <c r="H336" s="34" t="n"/>
      <c r="I336" s="34" t="n"/>
      <c r="J336" s="16" t="n"/>
    </row>
    <row r="337">
      <c r="B337" s="42" t="n"/>
      <c r="D337" s="12" t="inlineStr">
        <is>
          <t>Cap Throws that work:</t>
        </is>
      </c>
      <c r="E337" s="34" t="inlineStr">
        <is>
          <t>No Cap Throw Needed</t>
        </is>
      </c>
      <c r="F337" s="34" t="n"/>
      <c r="G337" s="34" t="n"/>
      <c r="H337" s="34" t="n"/>
      <c r="I337" s="34" t="n"/>
      <c r="J337" s="16" t="n"/>
    </row>
    <row r="338">
      <c r="A338" s="43" t="n"/>
      <c r="B338" s="44" t="n"/>
      <c r="C338" s="43" t="n"/>
      <c r="D338" s="19" t="inlineStr">
        <is>
          <t>Other Required:</t>
        </is>
      </c>
      <c r="E338" s="35" t="inlineStr">
        <is>
          <t>None</t>
        </is>
      </c>
      <c r="F338" s="35" t="n"/>
      <c r="G338" s="35" t="n"/>
      <c r="H338" s="35" t="n"/>
      <c r="I338" s="35" t="n"/>
      <c r="J338" s="16" t="n"/>
    </row>
    <row r="339">
      <c r="A339" s="41" t="b">
        <v>1</v>
      </c>
      <c r="B339" s="31" t="inlineStr">
        <is>
          <t>Crazy Cap Store: Shopping in Tostarena</t>
        </is>
      </c>
      <c r="C339" s="35" t="n"/>
      <c r="D339" s="12" t="inlineStr">
        <is>
          <t>Minimum Jump Height:</t>
        </is>
      </c>
      <c r="E339" s="34" t="inlineStr">
        <is>
          <t>No Jump Needed</t>
        </is>
      </c>
      <c r="F339" s="34" t="n"/>
      <c r="G339" s="34" t="n"/>
      <c r="H339" s="34" t="n"/>
      <c r="I339" s="34" t="n"/>
      <c r="J339" s="16" t="n"/>
    </row>
    <row r="340">
      <c r="B340" s="42" t="n"/>
      <c r="D340" s="12" t="inlineStr">
        <is>
          <t>Cap Throws that work:</t>
        </is>
      </c>
      <c r="E340" s="34" t="inlineStr">
        <is>
          <t>No Cap Throw Needed</t>
        </is>
      </c>
      <c r="F340" s="34" t="n"/>
      <c r="G340" s="34" t="n"/>
      <c r="H340" s="34" t="n"/>
      <c r="I340" s="34" t="n"/>
      <c r="J340" s="16" t="n"/>
    </row>
    <row r="341">
      <c r="A341" s="43" t="n"/>
      <c r="B341" s="44" t="n"/>
      <c r="C341" s="43" t="n"/>
      <c r="D341" s="19" t="inlineStr">
        <is>
          <t>Other Required:</t>
        </is>
      </c>
      <c r="E341" s="35" t="inlineStr">
        <is>
          <t>None</t>
        </is>
      </c>
      <c r="F341" s="35" t="n"/>
      <c r="G341" s="35" t="n"/>
      <c r="H341" s="35" t="n"/>
      <c r="I341" s="35" t="n"/>
      <c r="J341" s="16" t="n"/>
    </row>
    <row r="342">
      <c r="A342" s="41" t="b">
        <v>1</v>
      </c>
      <c r="B342" s="31" t="inlineStr">
        <is>
          <t>Crazy Cap Store: Employees Only</t>
        </is>
      </c>
      <c r="C342" s="35" t="n"/>
      <c r="D342" s="12" t="inlineStr">
        <is>
          <t>Minimum Jump Height:</t>
        </is>
      </c>
      <c r="E342" s="34" t="inlineStr">
        <is>
          <t>No Jump Needed</t>
        </is>
      </c>
      <c r="F342" s="34" t="n"/>
      <c r="G342" s="34" t="n"/>
      <c r="H342" s="34" t="n"/>
      <c r="I342" s="34" t="n"/>
      <c r="J342" s="16" t="n"/>
    </row>
    <row r="343">
      <c r="B343" s="42" t="n"/>
      <c r="D343" s="12" t="inlineStr">
        <is>
          <t>Cap Throws that work:</t>
        </is>
      </c>
      <c r="E343" s="34" t="inlineStr">
        <is>
          <t>No Cap Throw Needed</t>
        </is>
      </c>
      <c r="F343" s="34" t="n"/>
      <c r="G343" s="34" t="n"/>
      <c r="H343" s="34" t="n"/>
      <c r="I343" s="34" t="n"/>
      <c r="J343" s="16" t="n"/>
    </row>
    <row r="344">
      <c r="A344" s="43" t="n"/>
      <c r="B344" s="44" t="n"/>
      <c r="C344" s="43" t="n"/>
      <c r="D344" s="19" t="inlineStr">
        <is>
          <t>Other Required:</t>
        </is>
      </c>
      <c r="E344" s="35" t="inlineStr">
        <is>
          <t>None</t>
        </is>
      </c>
      <c r="F344" s="35" t="n"/>
      <c r="G344" s="35" t="n"/>
      <c r="H344" s="35" t="n"/>
      <c r="I344" s="35" t="n"/>
      <c r="J344" s="16" t="n"/>
    </row>
    <row r="345">
      <c r="A345" s="41" t="b">
        <v>1</v>
      </c>
      <c r="B345" s="31" t="inlineStr">
        <is>
          <t>Tostarena Slots: Sand Kingdom Slots</t>
        </is>
      </c>
      <c r="C345" s="35" t="n"/>
      <c r="D345" s="12" t="inlineStr">
        <is>
          <t>Minimum Jump Height:</t>
        </is>
      </c>
      <c r="E345" s="34" t="inlineStr">
        <is>
          <t>No Jump Needed</t>
        </is>
      </c>
      <c r="F345" s="34" t="n"/>
      <c r="G345" s="34" t="n"/>
      <c r="H345" s="34" t="n"/>
      <c r="I345" s="34" t="n"/>
      <c r="J345" s="16" t="n"/>
    </row>
    <row r="346">
      <c r="B346" s="42" t="n"/>
      <c r="D346" s="12" t="inlineStr">
        <is>
          <t>Cap Throws that work:</t>
        </is>
      </c>
      <c r="E346" s="34" t="inlineStr">
        <is>
          <t>Neutral Throw, Up Throw, Down Throw, Spin Throw</t>
        </is>
      </c>
      <c r="F346" s="34" t="n"/>
      <c r="G346" s="34" t="n"/>
      <c r="H346" s="34" t="n"/>
      <c r="I346" s="34" t="n"/>
      <c r="J346" s="16" t="n"/>
    </row>
    <row r="347">
      <c r="A347" s="43" t="n"/>
      <c r="B347" s="44" t="n"/>
      <c r="C347" s="43" t="n"/>
      <c r="D347" s="19" t="inlineStr">
        <is>
          <t>Other Required:</t>
        </is>
      </c>
      <c r="E347" s="35" t="inlineStr">
        <is>
          <t>None</t>
        </is>
      </c>
      <c r="F347" s="35" t="n"/>
      <c r="G347" s="35" t="n"/>
      <c r="H347" s="35" t="n"/>
      <c r="I347" s="35" t="n"/>
      <c r="J347" s="16" t="n"/>
    </row>
    <row r="348">
      <c r="A348" s="41" t="b">
        <v>1</v>
      </c>
      <c r="B348" s="31" t="inlineStr">
        <is>
          <t>Sand Kingdom: Walking the Desert!</t>
        </is>
      </c>
      <c r="C348" s="35" t="n"/>
      <c r="D348" s="12" t="inlineStr">
        <is>
          <t>Minimum Jump Height:</t>
        </is>
      </c>
      <c r="E348" s="34" t="inlineStr">
        <is>
          <t>No Jump Needed</t>
        </is>
      </c>
      <c r="F348" s="34" t="n"/>
      <c r="G348" s="34" t="n"/>
      <c r="H348" s="34" t="n"/>
      <c r="I348" s="34" t="n"/>
      <c r="J348" s="16" t="n"/>
    </row>
    <row r="349">
      <c r="B349" s="42" t="n"/>
      <c r="D349" s="12" t="inlineStr">
        <is>
          <t>Cap Throws that work:</t>
        </is>
      </c>
      <c r="E349" s="34" t="inlineStr">
        <is>
          <t>No Cap Throw Needed</t>
        </is>
      </c>
      <c r="F349" s="34" t="n"/>
      <c r="G349" s="34" t="n"/>
      <c r="H349" s="34" t="n"/>
      <c r="I349" s="34" t="n"/>
      <c r="J349" s="16" t="n"/>
    </row>
    <row r="350">
      <c r="A350" s="43" t="n"/>
      <c r="B350" s="44" t="n"/>
      <c r="C350" s="43" t="n"/>
      <c r="D350" s="19" t="inlineStr">
        <is>
          <t>Other Required:</t>
        </is>
      </c>
      <c r="E350" s="35" t="inlineStr">
        <is>
          <t>None</t>
        </is>
      </c>
      <c r="F350" s="35" t="n"/>
      <c r="G350" s="35" t="n"/>
      <c r="H350" s="35" t="n"/>
      <c r="I350" s="35" t="n"/>
      <c r="J350" s="16" t="n"/>
    </row>
    <row r="351">
      <c r="A351" s="41" t="b">
        <v>1</v>
      </c>
      <c r="B351" s="31" t="inlineStr">
        <is>
          <t>Inverted Pyramid: Upper Interior: Hidden Room in the Inverted Pyramid</t>
        </is>
      </c>
      <c r="C351" s="35" t="inlineStr">
        <is>
          <t>Bullet Bill</t>
        </is>
      </c>
      <c r="D351" s="12" t="inlineStr">
        <is>
          <t>Minimum Jump Height:</t>
        </is>
      </c>
      <c r="E351" s="34" t="inlineStr">
        <is>
          <t>Long Jump</t>
        </is>
      </c>
      <c r="F351" s="34" t="n"/>
      <c r="G351" s="34" t="n"/>
      <c r="H351" s="34" t="n"/>
      <c r="I351" s="34" t="n"/>
      <c r="J351" s="16" t="inlineStr">
        <is>
          <t>IF EXIT SPAWN: Moon can be obtained using a low jump, any cap throw and no captures</t>
        </is>
      </c>
    </row>
    <row r="352">
      <c r="B352" s="42" t="n"/>
      <c r="D352" s="12" t="inlineStr">
        <is>
          <t>Cap Throws that work:</t>
        </is>
      </c>
      <c r="E352" s="34" t="inlineStr">
        <is>
          <t>Neutral Throw, Up Throw, Down Throw, Spin Throw</t>
        </is>
      </c>
      <c r="F352" s="34" t="n"/>
      <c r="G352" s="34" t="n"/>
      <c r="H352" s="34" t="n"/>
      <c r="I352" s="34" t="n"/>
      <c r="J352" s="16" t="n"/>
    </row>
    <row r="353">
      <c r="A353" s="43" t="n"/>
      <c r="B353" s="44" t="n"/>
      <c r="C353" s="43" t="n"/>
      <c r="D353" s="19" t="inlineStr">
        <is>
          <t>Other Required:</t>
        </is>
      </c>
      <c r="E353" s="35" t="inlineStr">
        <is>
          <t>Capture</t>
        </is>
      </c>
      <c r="F353" s="35" t="n"/>
      <c r="G353" s="35" t="n"/>
      <c r="H353" s="35" t="n"/>
      <c r="I353" s="35" t="n"/>
      <c r="J353" s="16" t="n"/>
    </row>
    <row r="354">
      <c r="A354" s="41" t="b">
        <v>1</v>
      </c>
      <c r="B354" s="31" t="inlineStr">
        <is>
          <t>Underground Ruins: Underground Treasure Chest</t>
        </is>
      </c>
      <c r="C354" s="35" t="inlineStr">
        <is>
          <t>Bullet Bill</t>
        </is>
      </c>
      <c r="D354" s="12" t="inlineStr">
        <is>
          <t>Minimum Jump Height:</t>
        </is>
      </c>
      <c r="E354" s="34" t="inlineStr">
        <is>
          <t>Long Jump</t>
        </is>
      </c>
      <c r="F354" s="34" t="n"/>
      <c r="G354" s="34" t="n"/>
      <c r="H354" s="34" t="n"/>
      <c r="I354" s="34" t="n"/>
      <c r="J354" s="16" t="n"/>
    </row>
    <row r="355">
      <c r="B355" s="42" t="n"/>
      <c r="D355" s="12" t="inlineStr">
        <is>
          <t>Cap Throws that work:</t>
        </is>
      </c>
      <c r="E355" s="34" t="inlineStr">
        <is>
          <t>Neutral Throw, Up Throw, Down Throw, Spin Throw</t>
        </is>
      </c>
      <c r="F355" s="34" t="n"/>
      <c r="G355" s="34" t="n"/>
      <c r="H355" s="34" t="n"/>
      <c r="I355" s="34" t="n"/>
      <c r="J355" s="16" t="n"/>
    </row>
    <row r="356">
      <c r="A356" s="43" t="n"/>
      <c r="B356" s="44" t="n"/>
      <c r="C356" s="43" t="n"/>
      <c r="D356" s="19" t="inlineStr">
        <is>
          <t>Other Required:</t>
        </is>
      </c>
      <c r="E356" s="35" t="inlineStr">
        <is>
          <t>Capture</t>
        </is>
      </c>
      <c r="F356" s="35" t="n"/>
      <c r="G356" s="35" t="n"/>
      <c r="H356" s="35" t="n"/>
      <c r="I356" s="35" t="n"/>
      <c r="J356" s="16" t="n"/>
    </row>
    <row r="357">
      <c r="A357" s="41" t="b">
        <v>1</v>
      </c>
      <c r="B357" s="31" t="inlineStr">
        <is>
          <t>Underground Ruins: Goomba Tower Assembly</t>
        </is>
      </c>
      <c r="C357" s="35" t="inlineStr">
        <is>
          <t>Goomba</t>
        </is>
      </c>
      <c r="D357" s="12" t="inlineStr">
        <is>
          <t>Minimum Jump Height:</t>
        </is>
      </c>
      <c r="E357" s="34" t="inlineStr">
        <is>
          <t>No Jump Needed</t>
        </is>
      </c>
      <c r="F357" s="34" t="inlineStr">
        <is>
          <t>Long Jump</t>
        </is>
      </c>
      <c r="G357" s="34" t="n"/>
      <c r="H357" s="34" t="n"/>
      <c r="I357" s="34" t="n"/>
      <c r="J357" s="16" t="n"/>
    </row>
    <row r="358">
      <c r="B358" s="42" t="n"/>
      <c r="D358" s="12" t="inlineStr">
        <is>
          <t>Cap Throws that work:</t>
        </is>
      </c>
      <c r="E358" s="34" t="inlineStr">
        <is>
          <t>Neutral Throw</t>
        </is>
      </c>
      <c r="F358" s="34" t="inlineStr">
        <is>
          <t>Neutral Throw, Up Throw, Down Throw, Spin Throw</t>
        </is>
      </c>
      <c r="G358" s="34" t="n"/>
      <c r="H358" s="34" t="n"/>
      <c r="I358" s="34" t="n"/>
      <c r="J358" s="16" t="n"/>
    </row>
    <row r="359">
      <c r="A359" s="43" t="n"/>
      <c r="B359" s="44" t="n"/>
      <c r="C359" s="43" t="n"/>
      <c r="D359" s="19" t="inlineStr">
        <is>
          <t>Other Required:</t>
        </is>
      </c>
      <c r="E359" s="35" t="inlineStr">
        <is>
          <t>Capture</t>
        </is>
      </c>
      <c r="F359" s="35" t="inlineStr">
        <is>
          <t>Capture</t>
        </is>
      </c>
      <c r="G359" s="35" t="n"/>
      <c r="H359" s="35" t="n"/>
      <c r="I359" s="35" t="n"/>
      <c r="J359" s="16" t="n"/>
    </row>
    <row r="360">
      <c r="A360" s="41" t="b">
        <v>1</v>
      </c>
      <c r="B360" s="31" t="inlineStr">
        <is>
          <t>Deepest Underground: Under the Mummy's Curse</t>
        </is>
      </c>
      <c r="C360" s="35" t="n"/>
      <c r="D360" s="12" t="inlineStr">
        <is>
          <t>Minimum Jump Height:</t>
        </is>
      </c>
      <c r="E360" s="34" t="inlineStr">
        <is>
          <t>Long Jump</t>
        </is>
      </c>
      <c r="F360" s="34" t="n"/>
      <c r="G360" s="34" t="n"/>
      <c r="H360" s="34" t="n"/>
      <c r="I360" s="34" t="n"/>
      <c r="J360" s="16" t="n"/>
    </row>
    <row r="361">
      <c r="B361" s="42" t="n"/>
      <c r="D361" s="12" t="inlineStr">
        <is>
          <t>Cap Throws that work:</t>
        </is>
      </c>
      <c r="E361" s="34" t="inlineStr">
        <is>
          <t>No Cap Throw Needed</t>
        </is>
      </c>
      <c r="F361" s="34" t="n"/>
      <c r="G361" s="34" t="n"/>
      <c r="H361" s="34" t="n"/>
      <c r="I361" s="34" t="n"/>
      <c r="J361" s="16" t="n"/>
    </row>
    <row r="362">
      <c r="A362" s="43" t="n"/>
      <c r="B362" s="44" t="n"/>
      <c r="C362" s="43" t="n"/>
      <c r="D362" s="19" t="inlineStr">
        <is>
          <t>Other Required:</t>
        </is>
      </c>
      <c r="E362" s="35" t="inlineStr">
        <is>
          <t>None</t>
        </is>
      </c>
      <c r="F362" s="35" t="n"/>
      <c r="G362" s="35" t="n"/>
      <c r="H362" s="35" t="n"/>
      <c r="I362" s="35" t="n"/>
      <c r="J362" s="16" t="n"/>
    </row>
    <row r="363">
      <c r="A363" s="41" t="b">
        <v>1</v>
      </c>
      <c r="B363" s="31" t="inlineStr">
        <is>
          <t>Ice Cave: Ice Cave Treasure</t>
        </is>
      </c>
      <c r="C363" s="35" t="n"/>
      <c r="D363" s="12" t="inlineStr">
        <is>
          <t>Minimum Jump Height:</t>
        </is>
      </c>
      <c r="E363" s="34" t="inlineStr">
        <is>
          <t>Single Jump (258)</t>
        </is>
      </c>
      <c r="F363" s="34" t="inlineStr">
        <is>
          <t>Single Jump (258)</t>
        </is>
      </c>
      <c r="G363" s="34" t="inlineStr">
        <is>
          <t>Ground Pound Jump (514)</t>
        </is>
      </c>
      <c r="H363" s="34" t="inlineStr">
        <is>
          <t>Ground Pound Jump (514)</t>
        </is>
      </c>
      <c r="I363" s="34" t="n"/>
      <c r="J363" s="16" t="n"/>
    </row>
    <row r="364">
      <c r="B364" s="42" t="n"/>
      <c r="D364" s="12" t="inlineStr">
        <is>
          <t>Cap Throws that work:</t>
        </is>
      </c>
      <c r="E364" s="34" t="inlineStr">
        <is>
          <t>Neutral Throw, Up Throw, Down Throw, Spin Throw</t>
        </is>
      </c>
      <c r="F364" s="34" t="inlineStr">
        <is>
          <t>Neutral Throw, Up Throw, Down Throw, Spin Throw</t>
        </is>
      </c>
      <c r="G364" s="34" t="inlineStr">
        <is>
          <t>No Cap Throw Needed</t>
        </is>
      </c>
      <c r="H364" s="34" t="inlineStr">
        <is>
          <t>No Cap Throw Needed</t>
        </is>
      </c>
      <c r="I364" s="34" t="n"/>
      <c r="J364" s="16" t="n"/>
    </row>
    <row r="365">
      <c r="A365" s="43" t="n"/>
      <c r="B365" s="44" t="n"/>
      <c r="C365" s="43" t="n"/>
      <c r="D365" s="19" t="inlineStr">
        <is>
          <t>Other Required:</t>
        </is>
      </c>
      <c r="E365" s="35" t="inlineStr">
        <is>
          <t>, Wall Slide</t>
        </is>
      </c>
      <c r="F365" s="35" t="inlineStr">
        <is>
          <t>Wall Slide, Dive</t>
        </is>
      </c>
      <c r="G365" s="35" t="inlineStr">
        <is>
          <t>Wall Slide</t>
        </is>
      </c>
      <c r="H365" s="35" t="inlineStr">
        <is>
          <t>Wall Slide, Dive</t>
        </is>
      </c>
      <c r="I365" s="35" t="n"/>
      <c r="J365" s="16" t="n"/>
    </row>
    <row r="366">
      <c r="A366" s="41" t="b">
        <v>1</v>
      </c>
      <c r="B366" s="31" t="inlineStr">
        <is>
          <t>Sphynx Treasure Vault: Sphynx's Treasure Vault</t>
        </is>
      </c>
      <c r="C366" s="35" t="n"/>
      <c r="D366" s="12" t="inlineStr">
        <is>
          <t>Minimum Jump Height:</t>
        </is>
      </c>
      <c r="E366" s="34" t="inlineStr">
        <is>
          <t>Single Jump (258)</t>
        </is>
      </c>
      <c r="F366" s="34" t="n"/>
      <c r="G366" s="34" t="n"/>
      <c r="H366" s="34" t="n"/>
      <c r="I366" s="34" t="n"/>
      <c r="J366" s="16" t="n"/>
    </row>
    <row r="367">
      <c r="B367" s="42" t="n"/>
      <c r="D367" s="12" t="inlineStr">
        <is>
          <t>Cap Throws that work:</t>
        </is>
      </c>
      <c r="E367" s="34" t="inlineStr">
        <is>
          <t>Neutral Throw, Down Throw, Spin Throw, Up Throw</t>
        </is>
      </c>
      <c r="F367" s="34" t="n"/>
      <c r="G367" s="34" t="n"/>
      <c r="H367" s="34" t="n"/>
      <c r="I367" s="34" t="n"/>
      <c r="J367" s="16" t="n"/>
    </row>
    <row r="368">
      <c r="A368" s="43" t="n"/>
      <c r="B368" s="44" t="n"/>
      <c r="C368" s="43" t="n"/>
      <c r="D368" s="19" t="inlineStr">
        <is>
          <t>Other Required:</t>
        </is>
      </c>
      <c r="E368" s="35" t="n"/>
      <c r="F368" s="35" t="n"/>
      <c r="G368" s="35" t="n"/>
      <c r="H368" s="35" t="n"/>
      <c r="I368" s="35" t="n"/>
      <c r="J368" s="16" t="n"/>
    </row>
    <row r="369">
      <c r="A369" s="41" t="b">
        <v>1</v>
      </c>
      <c r="B369" s="31" t="inlineStr">
        <is>
          <t>Rumbling Floor House: A Rumble from the Sandy Floor</t>
        </is>
      </c>
      <c r="C369" s="35" t="n"/>
      <c r="D369" s="12" t="inlineStr">
        <is>
          <t>Minimum Jump Height:</t>
        </is>
      </c>
      <c r="E369" s="34" t="inlineStr">
        <is>
          <t>Single Jump (258)</t>
        </is>
      </c>
      <c r="F369" s="34" t="inlineStr">
        <is>
          <t>Long Jump</t>
        </is>
      </c>
      <c r="G369" s="34" t="n"/>
      <c r="H369" s="34" t="n"/>
      <c r="I369" s="34" t="n"/>
      <c r="J369" s="16" t="n"/>
    </row>
    <row r="370">
      <c r="B370" s="42" t="n"/>
      <c r="D370" s="12" t="inlineStr">
        <is>
          <t>Cap Throws that work:</t>
        </is>
      </c>
      <c r="E370" s="34" t="inlineStr">
        <is>
          <t>No Cap Throw Needed</t>
        </is>
      </c>
      <c r="F370" s="34" t="inlineStr">
        <is>
          <t>Neutral Throw, Up Throw, Down Throw, Spin Throw</t>
        </is>
      </c>
      <c r="G370" s="34" t="n"/>
      <c r="H370" s="34" t="n"/>
      <c r="I370" s="34" t="n"/>
      <c r="J370" s="16" t="n"/>
    </row>
    <row r="371">
      <c r="A371" s="43" t="n"/>
      <c r="B371" s="44" t="n"/>
      <c r="C371" s="43" t="n"/>
      <c r="D371" s="19" t="inlineStr">
        <is>
          <t>Other Required:</t>
        </is>
      </c>
      <c r="E371" s="35" t="inlineStr">
        <is>
          <t>Ground Pound</t>
        </is>
      </c>
      <c r="F371" s="35" t="inlineStr">
        <is>
          <t>Ground Pound</t>
        </is>
      </c>
      <c r="G371" s="35" t="n"/>
      <c r="H371" s="35" t="n"/>
      <c r="I371" s="35" t="n"/>
      <c r="J371" s="16" t="n"/>
    </row>
    <row r="372">
      <c r="A372" s="41" t="b">
        <v>1</v>
      </c>
      <c r="B372" s="31" t="inlineStr">
        <is>
          <t>Costume Room: Dancing with New Friends</t>
        </is>
      </c>
      <c r="C372" s="35" t="n"/>
      <c r="D372" s="12" t="inlineStr">
        <is>
          <t>Minimum Jump Height:</t>
        </is>
      </c>
      <c r="E372" s="34" t="inlineStr">
        <is>
          <t>Long Jump</t>
        </is>
      </c>
      <c r="F372" s="34" t="n"/>
      <c r="G372" s="34" t="n"/>
      <c r="H372" s="34" t="n"/>
      <c r="I372" s="34" t="n"/>
      <c r="J372" s="16" t="n"/>
    </row>
    <row r="373">
      <c r="B373" s="42" t="n"/>
      <c r="D373" s="12" t="inlineStr">
        <is>
          <t>Cap Throws that work:</t>
        </is>
      </c>
      <c r="E373" s="34" t="inlineStr">
        <is>
          <t>No Cap Throw Needed</t>
        </is>
      </c>
      <c r="F373" s="34" t="n"/>
      <c r="G373" s="34" t="n"/>
      <c r="H373" s="34" t="n"/>
      <c r="I373" s="34" t="n"/>
      <c r="J373" s="16" t="n"/>
    </row>
    <row r="374">
      <c r="A374" s="43" t="n"/>
      <c r="B374" s="44" t="n"/>
      <c r="C374" s="43" t="n"/>
      <c r="D374" s="19" t="inlineStr">
        <is>
          <t>Other Required:</t>
        </is>
      </c>
      <c r="E374" s="35" t="inlineStr">
        <is>
          <t>None</t>
        </is>
      </c>
      <c r="F374" s="35" t="n"/>
      <c r="G374" s="35" t="n"/>
      <c r="H374" s="35" t="n"/>
      <c r="I374" s="35" t="n"/>
      <c r="J374" s="16" t="n"/>
    </row>
    <row r="375">
      <c r="A375" s="41" t="b">
        <v>1</v>
      </c>
      <c r="B375" s="31" t="inlineStr">
        <is>
          <t>Transparent Lifts: The Invisible Maze</t>
        </is>
      </c>
      <c r="C375" s="35" t="n"/>
      <c r="D375" s="12" t="inlineStr">
        <is>
          <t>Minimum Jump Height:</t>
        </is>
      </c>
      <c r="E375" s="34" t="inlineStr">
        <is>
          <t>Long Jump</t>
        </is>
      </c>
      <c r="F375" s="34" t="n"/>
      <c r="G375" s="34" t="n"/>
      <c r="H375" s="34" t="n"/>
      <c r="I375" s="34" t="n"/>
      <c r="J375" s="16" t="inlineStr">
        <is>
          <t>IF EXIT SPAWN: Both moons possible with low jump, any cap throw, no captures</t>
        </is>
      </c>
    </row>
    <row r="376">
      <c r="B376" s="42" t="n"/>
      <c r="D376" s="12" t="inlineStr">
        <is>
          <t>Cap Throws that work:</t>
        </is>
      </c>
      <c r="E376" s="34" t="inlineStr">
        <is>
          <t>No Cap Throw Needed, Neutral Throw, Up Throw, Down Throw, Spin Throw</t>
        </is>
      </c>
      <c r="F376" s="34" t="n"/>
      <c r="G376" s="34" t="n"/>
      <c r="H376" s="34" t="n"/>
      <c r="I376" s="34" t="n"/>
      <c r="J376" s="16" t="n"/>
    </row>
    <row r="377">
      <c r="A377" s="43" t="n"/>
      <c r="B377" s="44" t="n"/>
      <c r="C377" s="43" t="n"/>
      <c r="D377" s="19" t="inlineStr">
        <is>
          <t>Other Required:</t>
        </is>
      </c>
      <c r="E377" s="35" t="inlineStr">
        <is>
          <t>None</t>
        </is>
      </c>
      <c r="F377" s="35" t="n"/>
      <c r="G377" s="35" t="n"/>
      <c r="H377" s="35" t="n"/>
      <c r="I377" s="35" t="n"/>
      <c r="J377" s="16" t="n"/>
    </row>
    <row r="378">
      <c r="A378" s="41" t="b">
        <v>1</v>
      </c>
      <c r="B378" s="31" t="inlineStr">
        <is>
          <t>Transparent Lifts: Skull Sign in the Transparent Maze</t>
        </is>
      </c>
      <c r="C378" s="35" t="n"/>
      <c r="D378" s="12" t="inlineStr">
        <is>
          <t>Minimum Jump Height:</t>
        </is>
      </c>
      <c r="E378" s="34" t="inlineStr">
        <is>
          <t>Long Jump</t>
        </is>
      </c>
      <c r="F378" s="34" t="n"/>
      <c r="G378" s="34" t="n"/>
      <c r="H378" s="34" t="n"/>
      <c r="I378" s="34" t="n"/>
      <c r="J378" s="16" t="n"/>
    </row>
    <row r="379">
      <c r="B379" s="42" t="n"/>
      <c r="D379" s="12" t="inlineStr">
        <is>
          <t>Cap Throws that work:</t>
        </is>
      </c>
      <c r="E379" s="34" t="inlineStr">
        <is>
          <t>Neutral Throw, Up Throw, Down Throw, Spin Throw</t>
        </is>
      </c>
      <c r="F379" s="34" t="n"/>
      <c r="G379" s="34" t="n"/>
      <c r="H379" s="34" t="n"/>
      <c r="I379" s="34" t="n"/>
      <c r="J379" s="16" t="n"/>
    </row>
    <row r="380">
      <c r="A380" s="43" t="n"/>
      <c r="B380" s="44" t="n"/>
      <c r="C380" s="43" t="n"/>
      <c r="D380" s="19" t="inlineStr">
        <is>
          <t>Other Required:</t>
        </is>
      </c>
      <c r="E380" s="35" t="inlineStr">
        <is>
          <t>None</t>
        </is>
      </c>
      <c r="F380" s="35" t="n"/>
      <c r="G380" s="35" t="n"/>
      <c r="H380" s="35" t="n"/>
      <c r="I380" s="35" t="n"/>
      <c r="J380" s="16" t="n"/>
    </row>
    <row r="381">
      <c r="A381" s="41" t="b">
        <v>1</v>
      </c>
      <c r="B381" s="31" t="inlineStr">
        <is>
          <t>Bullet Bill Maze: The Bullet Bill Maze: Break Through!</t>
        </is>
      </c>
      <c r="C381" s="35" t="inlineStr">
        <is>
          <t>Bullet Bill</t>
        </is>
      </c>
      <c r="D381" s="12" t="inlineStr">
        <is>
          <t>Minimum Jump Height:</t>
        </is>
      </c>
      <c r="E381" s="34" t="inlineStr">
        <is>
          <t>No Jump Needed</t>
        </is>
      </c>
      <c r="F381" s="34" t="inlineStr">
        <is>
          <t>Backflip/Vault/Side Flip (496)</t>
        </is>
      </c>
      <c r="G381" s="34" t="n"/>
      <c r="H381" s="34" t="n"/>
      <c r="I381" s="34" t="n"/>
      <c r="J381" s="16" t="inlineStr">
        <is>
          <t>IF EXIT SPAWN: Both moons possible with GPJ +any throw. Exit moon already spawned</t>
        </is>
      </c>
    </row>
    <row r="382">
      <c r="B382" s="42" t="n"/>
      <c r="D382" s="12" t="inlineStr">
        <is>
          <t>Cap Throws that work:</t>
        </is>
      </c>
      <c r="E382" s="34" t="inlineStr">
        <is>
          <t>Neutral Throw, Down Throw, Up Throw, Spin Throw</t>
        </is>
      </c>
      <c r="F382" s="34" t="inlineStr">
        <is>
          <t>Neutral Throw, Up Throw</t>
        </is>
      </c>
      <c r="G382" s="34" t="n"/>
      <c r="H382" s="34" t="n"/>
      <c r="I382" s="34" t="n"/>
      <c r="J382" s="16" t="n"/>
    </row>
    <row r="383">
      <c r="A383" s="43" t="n"/>
      <c r="B383" s="44" t="n"/>
      <c r="C383" s="43" t="n"/>
      <c r="D383" s="19" t="inlineStr">
        <is>
          <t>Other Required:</t>
        </is>
      </c>
      <c r="E383" s="35" t="inlineStr">
        <is>
          <t>Capture, Crouch</t>
        </is>
      </c>
      <c r="F383" s="35" t="inlineStr">
        <is>
          <t>Dive, Cap Bounce</t>
        </is>
      </c>
      <c r="G383" s="35" t="n"/>
      <c r="H383" s="35" t="n"/>
      <c r="I383" s="35" t="n"/>
      <c r="J383" s="16" t="n"/>
    </row>
    <row r="384">
      <c r="A384" s="41" t="b">
        <v>1</v>
      </c>
      <c r="B384" s="31" t="inlineStr">
        <is>
          <t>Bullet Bill Maze: The Bullet Bill Maze: Side Path</t>
        </is>
      </c>
      <c r="C384" s="35" t="inlineStr">
        <is>
          <t>Bullet Bill</t>
        </is>
      </c>
      <c r="D384" s="12" t="inlineStr">
        <is>
          <t>Minimum Jump Height:</t>
        </is>
      </c>
      <c r="E384" s="34" t="inlineStr">
        <is>
          <t>No Jump Needed</t>
        </is>
      </c>
      <c r="F384" s="34" t="inlineStr">
        <is>
          <t>Backflip/Vault/Side Flip (496)</t>
        </is>
      </c>
      <c r="G384" s="34" t="n"/>
      <c r="H384" s="34" t="n"/>
      <c r="I384" s="34" t="n"/>
      <c r="J384" s="16" t="n"/>
    </row>
    <row r="385">
      <c r="B385" s="42" t="n"/>
      <c r="D385" s="12" t="inlineStr">
        <is>
          <t>Cap Throws that work:</t>
        </is>
      </c>
      <c r="E385" s="34" t="inlineStr">
        <is>
          <t>Neutral Throw, Up Throw, Down Throw, Spin Throw</t>
        </is>
      </c>
      <c r="F385" s="34" t="inlineStr">
        <is>
          <t>Neutral Throw, Up Throw</t>
        </is>
      </c>
      <c r="G385" s="34" t="n"/>
      <c r="H385" s="34" t="n"/>
      <c r="I385" s="34" t="n"/>
      <c r="J385" s="16" t="n"/>
    </row>
    <row r="386">
      <c r="A386" s="43" t="n"/>
      <c r="B386" s="44" t="n"/>
      <c r="C386" s="43" t="n"/>
      <c r="D386" s="19" t="inlineStr">
        <is>
          <t>Other Required:</t>
        </is>
      </c>
      <c r="E386" s="35" t="inlineStr">
        <is>
          <t>Capture</t>
        </is>
      </c>
      <c r="F386" s="35" t="inlineStr">
        <is>
          <t>Dive, Cap Bounce</t>
        </is>
      </c>
      <c r="G386" s="35" t="n"/>
      <c r="H386" s="35" t="n"/>
      <c r="I386" s="35" t="n"/>
      <c r="J386" s="16" t="n"/>
    </row>
    <row r="387">
      <c r="A387" s="41" t="b">
        <v>1</v>
      </c>
      <c r="B387" s="31" t="inlineStr">
        <is>
          <t>Jaxi Driving: Jaxi Driver</t>
        </is>
      </c>
      <c r="C387" s="35" t="n"/>
      <c r="D387" s="12" t="inlineStr">
        <is>
          <t>Minimum Jump Height:</t>
        </is>
      </c>
      <c r="E387" s="34" t="inlineStr">
        <is>
          <t>Long Jump</t>
        </is>
      </c>
      <c r="F387" s="34" t="n"/>
      <c r="G387" s="34" t="n"/>
      <c r="H387" s="34" t="n"/>
      <c r="I387" s="34" t="n"/>
      <c r="J387" s="16" t="inlineStr">
        <is>
          <t>IF EXIT SPAWN: Moon spawned at exit, low jump</t>
        </is>
      </c>
    </row>
    <row r="388">
      <c r="B388" s="42" t="n"/>
      <c r="D388" s="12" t="inlineStr">
        <is>
          <t>Cap Throws that work:</t>
        </is>
      </c>
      <c r="E388" s="34" t="inlineStr">
        <is>
          <t>No Cap Throw Needed</t>
        </is>
      </c>
      <c r="F388" s="34" t="n"/>
      <c r="G388" s="34" t="n"/>
      <c r="H388" s="34" t="n"/>
      <c r="I388" s="34" t="n"/>
      <c r="J388" s="16" t="n"/>
    </row>
    <row r="389">
      <c r="A389" s="43" t="n"/>
      <c r="B389" s="44" t="n"/>
      <c r="C389" s="43" t="n"/>
      <c r="D389" s="19" t="inlineStr">
        <is>
          <t>Other Required:</t>
        </is>
      </c>
      <c r="E389" s="35" t="n"/>
      <c r="F389" s="35" t="n"/>
      <c r="G389" s="35" t="n"/>
      <c r="H389" s="35" t="n"/>
      <c r="I389" s="35" t="n"/>
      <c r="J389" s="16" t="n"/>
    </row>
    <row r="390">
      <c r="A390" s="41" t="b">
        <v>1</v>
      </c>
      <c r="B390" s="31" t="inlineStr">
        <is>
          <t>Jaxi Driving: Jaxi Stunt Driving</t>
        </is>
      </c>
      <c r="C390" s="35" t="n"/>
      <c r="D390" s="12" t="inlineStr">
        <is>
          <t>Minimum Jump Height:</t>
        </is>
      </c>
      <c r="E390" s="34" t="inlineStr">
        <is>
          <t>No Jump Needed</t>
        </is>
      </c>
      <c r="F390" s="34" t="n"/>
      <c r="G390" s="34" t="n"/>
      <c r="H390" s="34" t="n"/>
      <c r="I390" s="34" t="n"/>
      <c r="J390" s="16" t="n"/>
    </row>
    <row r="391">
      <c r="B391" s="42" t="n"/>
      <c r="D391" s="12" t="inlineStr">
        <is>
          <t>Cap Throws that work:</t>
        </is>
      </c>
      <c r="E391" s="34" t="inlineStr">
        <is>
          <t>No Cap Throw Needed</t>
        </is>
      </c>
      <c r="F391" s="34" t="n"/>
      <c r="G391" s="34" t="n"/>
      <c r="H391" s="34" t="n"/>
      <c r="I391" s="34" t="n"/>
      <c r="J391" s="16" t="n"/>
    </row>
    <row r="392">
      <c r="A392" s="43" t="n"/>
      <c r="B392" s="44" t="n"/>
      <c r="C392" s="43" t="n"/>
      <c r="D392" s="19" t="inlineStr">
        <is>
          <t>Other Required:</t>
        </is>
      </c>
      <c r="E392" s="35" t="n"/>
      <c r="F392" s="35" t="n"/>
      <c r="G392" s="35" t="n"/>
      <c r="H392" s="35" t="n"/>
      <c r="I392" s="35" t="n"/>
      <c r="J392" s="16" t="n"/>
    </row>
    <row r="393">
      <c r="A393" s="41" t="b">
        <v>1</v>
      </c>
      <c r="B393" s="31" t="inlineStr">
        <is>
          <t>Strange Neighborhood: Strange Neighborhood</t>
        </is>
      </c>
      <c r="C393" s="35" t="n"/>
      <c r="D393" s="12" t="inlineStr">
        <is>
          <t>Minimum Jump Height:</t>
        </is>
      </c>
      <c r="E393" s="34" t="inlineStr">
        <is>
          <t>Single Jump (258)</t>
        </is>
      </c>
      <c r="F393" s="34" t="n"/>
      <c r="G393" s="34" t="n"/>
      <c r="H393" s="34" t="n"/>
      <c r="I393" s="34" t="n"/>
      <c r="J393" s="16" t="inlineStr">
        <is>
          <t>Unsure if you can spawn at the end of rocket missions</t>
        </is>
      </c>
    </row>
    <row r="394">
      <c r="B394" s="42" t="n"/>
      <c r="D394" s="12" t="inlineStr">
        <is>
          <t>Cap Throws that work:</t>
        </is>
      </c>
      <c r="E394" s="34" t="inlineStr">
        <is>
          <t>Neutral Throw, Up Throw, Down Throw, Spin Throw</t>
        </is>
      </c>
      <c r="F394" s="34" t="n"/>
      <c r="G394" s="34" t="n"/>
      <c r="H394" s="34" t="n"/>
      <c r="I394" s="34" t="n"/>
      <c r="J394" s="16" t="n"/>
    </row>
    <row r="395">
      <c r="A395" s="43" t="n"/>
      <c r="B395" s="44" t="n"/>
      <c r="C395" s="43" t="n"/>
      <c r="D395" s="19" t="inlineStr">
        <is>
          <t>Other Required:</t>
        </is>
      </c>
      <c r="E395" s="35" t="inlineStr">
        <is>
          <t>None, Capture</t>
        </is>
      </c>
      <c r="F395" s="35" t="n"/>
      <c r="G395" s="35" t="n"/>
      <c r="H395" s="35" t="n"/>
      <c r="I395" s="35" t="n"/>
      <c r="J395" s="16" t="n"/>
    </row>
    <row r="396">
      <c r="A396" s="41" t="b">
        <v>1</v>
      </c>
      <c r="B396" s="31" t="inlineStr">
        <is>
          <t>Strange Neighborhood: Above a Strange Neighborhood</t>
        </is>
      </c>
      <c r="C396" s="35" t="n"/>
      <c r="D396" s="12" t="inlineStr">
        <is>
          <t>Minimum Jump Height:</t>
        </is>
      </c>
      <c r="E396" s="34" t="inlineStr">
        <is>
          <t>Backflip/Vault/Side Flip (496)</t>
        </is>
      </c>
      <c r="F396" s="34" t="n"/>
      <c r="G396" s="34" t="n"/>
      <c r="H396" s="34" t="n"/>
      <c r="I396" s="34" t="n"/>
      <c r="J396" s="16" t="n"/>
    </row>
    <row r="397">
      <c r="B397" s="42" t="n"/>
      <c r="D397" s="12" t="inlineStr">
        <is>
          <t>Cap Throws that work:</t>
        </is>
      </c>
      <c r="E397" s="34" t="inlineStr">
        <is>
          <t>Neutral Throw, Up Throw, Down Throw, Spin Throw</t>
        </is>
      </c>
      <c r="F397" s="34" t="n"/>
      <c r="G397" s="34" t="n"/>
      <c r="H397" s="34" t="n"/>
      <c r="I397" s="34" t="n"/>
      <c r="J397" s="16" t="n"/>
    </row>
    <row r="398">
      <c r="A398" s="43" t="n"/>
      <c r="B398" s="44" t="n"/>
      <c r="C398" s="43" t="n"/>
      <c r="D398" s="19" t="inlineStr">
        <is>
          <t>Other Required:</t>
        </is>
      </c>
      <c r="E398" s="35" t="inlineStr">
        <is>
          <t>None, Capture</t>
        </is>
      </c>
      <c r="F398" s="35" t="n"/>
      <c r="G398" s="35" t="n"/>
      <c r="H398" s="35" t="n"/>
      <c r="I398" s="35" t="n"/>
      <c r="J398" s="16" t="n"/>
    </row>
    <row r="399">
      <c r="A399" s="41" t="b">
        <v>1</v>
      </c>
      <c r="B399" s="31" t="inlineStr">
        <is>
          <t>Sand Kingdom: Secret Path to Tostarena!</t>
        </is>
      </c>
      <c r="C399" s="35" t="n"/>
      <c r="D399" s="12" t="inlineStr">
        <is>
          <t>Minimum Jump Height:</t>
        </is>
      </c>
      <c r="E399" s="34" t="inlineStr">
        <is>
          <t>Long Jump</t>
        </is>
      </c>
      <c r="F399" s="34" t="n"/>
      <c r="G399" s="34" t="n"/>
      <c r="H399" s="34" t="n"/>
      <c r="I399" s="34" t="n"/>
      <c r="J399" s="16" t="n"/>
    </row>
    <row r="400">
      <c r="B400" s="42" t="n"/>
      <c r="D400" s="12" t="inlineStr">
        <is>
          <t>Cap Throws that work:</t>
        </is>
      </c>
      <c r="E400" s="34" t="inlineStr">
        <is>
          <t>No Cap Throw Needed</t>
        </is>
      </c>
      <c r="F400" s="34" t="n"/>
      <c r="G400" s="34" t="n"/>
      <c r="H400" s="34" t="n"/>
      <c r="I400" s="34" t="n"/>
      <c r="J400" s="16" t="n"/>
    </row>
    <row r="401">
      <c r="A401" s="43" t="n"/>
      <c r="B401" s="44" t="n"/>
      <c r="C401" s="43" t="n"/>
      <c r="D401" s="19" t="inlineStr">
        <is>
          <t>Other Required:</t>
        </is>
      </c>
      <c r="E401" s="35" t="n"/>
      <c r="F401" s="35" t="n"/>
      <c r="G401" s="35" t="n"/>
      <c r="H401" s="35" t="n"/>
      <c r="I401" s="35" t="n"/>
      <c r="J401" s="16" t="n"/>
    </row>
    <row r="402">
      <c r="A402" s="41" t="b">
        <v>1</v>
      </c>
      <c r="B402" s="31" t="inlineStr">
        <is>
          <t>Sand Kingdom: Found with Sand Kingdom Art</t>
        </is>
      </c>
      <c r="C402" s="35" t="inlineStr">
        <is>
          <t>Spark pylon</t>
        </is>
      </c>
      <c r="D402" s="12" t="inlineStr">
        <is>
          <t>Minimum Jump Height:</t>
        </is>
      </c>
      <c r="E402" s="34" t="inlineStr">
        <is>
          <t>Long Jump</t>
        </is>
      </c>
      <c r="F402" s="34" t="n"/>
      <c r="G402" s="34" t="n"/>
      <c r="H402" s="34" t="n"/>
      <c r="I402" s="34" t="n"/>
      <c r="J402" s="16" t="n"/>
    </row>
    <row r="403">
      <c r="B403" s="42" t="n"/>
      <c r="D403" s="12" t="inlineStr">
        <is>
          <t>Cap Throws that work:</t>
        </is>
      </c>
      <c r="E403" s="34" t="inlineStr">
        <is>
          <t>Neutral Throw, Up Throw, Down Throw, Spin Throw</t>
        </is>
      </c>
      <c r="F403" s="34" t="n"/>
      <c r="G403" s="34" t="n"/>
      <c r="H403" s="34" t="n"/>
      <c r="I403" s="34" t="n"/>
      <c r="J403" s="16" t="n"/>
    </row>
    <row r="404">
      <c r="A404" s="43" t="n"/>
      <c r="B404" s="44" t="n"/>
      <c r="C404" s="43" t="n"/>
      <c r="D404" s="19" t="inlineStr">
        <is>
          <t>Other Required:</t>
        </is>
      </c>
      <c r="E404" s="35" t="inlineStr">
        <is>
          <t>Capture, Ground Pound</t>
        </is>
      </c>
      <c r="F404" s="35" t="n"/>
      <c r="G404" s="35" t="n"/>
      <c r="H404" s="35" t="n"/>
      <c r="I404" s="35" t="n"/>
      <c r="J404" s="16" t="n"/>
    </row>
    <row r="405">
      <c r="A405" s="41" t="b">
        <v>1</v>
      </c>
      <c r="B405" s="31" t="inlineStr">
        <is>
          <t>Sand Kingdom: Jammin' in the Sand Kingdom</t>
        </is>
      </c>
      <c r="C405" s="35" t="n"/>
      <c r="D405" s="12" t="inlineStr">
        <is>
          <t>Minimum Jump Height:</t>
        </is>
      </c>
      <c r="E405" s="34" t="inlineStr">
        <is>
          <t>Long Jump</t>
        </is>
      </c>
      <c r="F405" s="34" t="inlineStr">
        <is>
          <t>No Jump Needed</t>
        </is>
      </c>
      <c r="G405" s="34" t="n"/>
      <c r="H405" s="34" t="n"/>
      <c r="I405" s="34" t="n"/>
      <c r="J405" s="16" t="n"/>
    </row>
    <row r="406">
      <c r="B406" s="42" t="n"/>
      <c r="D406" s="12" t="inlineStr">
        <is>
          <t>Cap Throws that work:</t>
        </is>
      </c>
      <c r="E406" s="34" t="inlineStr">
        <is>
          <t>No Cap Throw Needed</t>
        </is>
      </c>
      <c r="F406" s="34" t="inlineStr">
        <is>
          <t>Neutral Throw, Up Throw, Down Throw, Spin Throw</t>
        </is>
      </c>
      <c r="G406" s="34" t="n"/>
      <c r="H406" s="34" t="n"/>
      <c r="I406" s="34" t="n"/>
      <c r="J406" s="16" t="n"/>
    </row>
    <row r="407">
      <c r="A407" s="43" t="n"/>
      <c r="B407" s="44" t="n"/>
      <c r="C407" s="43" t="n"/>
      <c r="D407" s="19" t="inlineStr">
        <is>
          <t>Other Required:</t>
        </is>
      </c>
      <c r="E407" s="35" t="inlineStr">
        <is>
          <t>None</t>
        </is>
      </c>
      <c r="F407" s="35" t="inlineStr">
        <is>
          <t>None</t>
        </is>
      </c>
      <c r="G407" s="35" t="n"/>
      <c r="H407" s="35" t="n"/>
      <c r="I407" s="35" t="n"/>
      <c r="J407" s="16" t="n"/>
    </row>
    <row r="408">
      <c r="A408" s="41" t="b">
        <v>1</v>
      </c>
      <c r="B408" s="31" t="inlineStr">
        <is>
          <t>Sand Kingdom: Hat-and-Seek: In the Sand</t>
        </is>
      </c>
      <c r="C408" s="35" t="n"/>
      <c r="D408" s="12" t="inlineStr">
        <is>
          <t>Minimum Jump Height:</t>
        </is>
      </c>
      <c r="E408" s="34" t="inlineStr">
        <is>
          <t>No Jump Needed</t>
        </is>
      </c>
      <c r="F408" s="34" t="n"/>
      <c r="G408" s="34" t="n"/>
      <c r="H408" s="34" t="n"/>
      <c r="I408" s="34" t="n"/>
      <c r="J408" s="16" t="n"/>
    </row>
    <row r="409">
      <c r="B409" s="42" t="n"/>
      <c r="D409" s="12" t="inlineStr">
        <is>
          <t>Cap Throws that work:</t>
        </is>
      </c>
      <c r="E409" s="34" t="inlineStr">
        <is>
          <t>No Cap Throw Needed</t>
        </is>
      </c>
      <c r="F409" s="34" t="n"/>
      <c r="G409" s="34" t="n"/>
      <c r="H409" s="34" t="n"/>
      <c r="I409" s="34" t="n"/>
      <c r="J409" s="16" t="n"/>
    </row>
    <row r="410">
      <c r="A410" s="43" t="n"/>
      <c r="B410" s="44" t="n"/>
      <c r="C410" s="43" t="n"/>
      <c r="D410" s="19" t="inlineStr">
        <is>
          <t>Other Required:</t>
        </is>
      </c>
      <c r="E410" s="35" t="inlineStr">
        <is>
          <t>None</t>
        </is>
      </c>
      <c r="F410" s="35" t="n"/>
      <c r="G410" s="35" t="n"/>
      <c r="H410" s="35" t="n"/>
      <c r="I410" s="35" t="n"/>
      <c r="J410" s="16" t="n"/>
    </row>
    <row r="411">
      <c r="A411" s="41" t="b">
        <v>1</v>
      </c>
      <c r="B411" s="31" t="inlineStr">
        <is>
          <t>Sand Kingdom: Sand Kingdom Regular Cup</t>
        </is>
      </c>
      <c r="C411" s="35" t="n"/>
      <c r="D411" s="12" t="inlineStr">
        <is>
          <t>Minimum Jump Height:</t>
        </is>
      </c>
      <c r="E411" s="34" t="inlineStr">
        <is>
          <t>No Jump Needed</t>
        </is>
      </c>
      <c r="F411" s="34" t="inlineStr">
        <is>
          <t>Single Jump (258)</t>
        </is>
      </c>
      <c r="G411" s="34" t="inlineStr">
        <is>
          <t>Long Jump</t>
        </is>
      </c>
      <c r="H411" s="34" t="n"/>
      <c r="I411" s="34" t="n"/>
      <c r="J411" s="16" t="n"/>
    </row>
    <row r="412">
      <c r="B412" s="42" t="n"/>
      <c r="D412" s="12" t="inlineStr">
        <is>
          <t>Cap Throws that work:</t>
        </is>
      </c>
      <c r="E412" s="34" t="inlineStr">
        <is>
          <t>Neutral Throw, Up Throw, Down Throw, Spin Throw</t>
        </is>
      </c>
      <c r="F412" s="34" t="inlineStr">
        <is>
          <t>No Cap Throw Needed</t>
        </is>
      </c>
      <c r="G412" s="34" t="inlineStr">
        <is>
          <t>Neutral Throw, Up Throw, Down Throw, Spin Throw</t>
        </is>
      </c>
      <c r="H412" s="34" t="n"/>
      <c r="I412" s="34" t="n"/>
      <c r="J412" s="16" t="n"/>
    </row>
    <row r="413">
      <c r="A413" s="43" t="n"/>
      <c r="B413" s="44" t="n"/>
      <c r="C413" s="43" t="n"/>
      <c r="D413" s="19" t="inlineStr">
        <is>
          <t>Other Required:</t>
        </is>
      </c>
      <c r="E413" s="35" t="inlineStr">
        <is>
          <t>Capture</t>
        </is>
      </c>
      <c r="F413" s="35" t="n"/>
      <c r="G413" s="35" t="n"/>
      <c r="H413" s="35" t="n"/>
      <c r="I413" s="35" t="n"/>
      <c r="J413" s="16" t="n"/>
    </row>
    <row r="414">
      <c r="A414" s="41" t="b">
        <v>1</v>
      </c>
      <c r="B414" s="31" t="inlineStr">
        <is>
          <t>Deepest Underground: Binding Band Returned</t>
        </is>
      </c>
      <c r="C414" s="35" t="n"/>
      <c r="D414" s="12" t="inlineStr">
        <is>
          <t>Minimum Jump Height:</t>
        </is>
      </c>
      <c r="E414" s="34" t="inlineStr">
        <is>
          <t>Single Jump (258)</t>
        </is>
      </c>
      <c r="F414" s="34" t="n"/>
      <c r="G414" s="34" t="n"/>
      <c r="H414" s="34" t="n"/>
      <c r="I414" s="34" t="n"/>
      <c r="J414" s="16" t="n"/>
    </row>
    <row r="415">
      <c r="B415" s="42" t="n"/>
      <c r="D415" s="12" t="inlineStr">
        <is>
          <t>Cap Throws that work:</t>
        </is>
      </c>
      <c r="E415" s="34" t="inlineStr">
        <is>
          <t>Neutral Throw, Up Throw, Down Throw, Spin Throw</t>
        </is>
      </c>
      <c r="F415" s="34" t="n"/>
      <c r="G415" s="34" t="n"/>
      <c r="H415" s="34" t="n"/>
      <c r="I415" s="34" t="n"/>
      <c r="J415" s="16" t="n"/>
    </row>
    <row r="416">
      <c r="A416" s="43" t="n"/>
      <c r="B416" s="44" t="n"/>
      <c r="C416" s="43" t="n"/>
      <c r="D416" s="19" t="inlineStr">
        <is>
          <t>Other Required:</t>
        </is>
      </c>
      <c r="E416" s="35" t="inlineStr">
        <is>
          <t>Ground Pound</t>
        </is>
      </c>
      <c r="F416" s="35" t="n"/>
      <c r="G416" s="35" t="n"/>
      <c r="H416" s="35" t="n"/>
      <c r="I416" s="35" t="n"/>
      <c r="J416" s="16" t="n"/>
    </row>
    <row r="417">
      <c r="A417" s="41" t="b">
        <v>1</v>
      </c>
      <c r="B417" s="31" t="inlineStr">
        <is>
          <t>Sand Kingdom: 'Round-the-World Tourist</t>
        </is>
      </c>
      <c r="C417" s="35" t="n"/>
      <c r="D417" s="12" t="inlineStr">
        <is>
          <t>Minimum Jump Height:</t>
        </is>
      </c>
      <c r="E417" s="34" t="inlineStr">
        <is>
          <t>No Jump Needed</t>
        </is>
      </c>
      <c r="F417" s="34" t="n"/>
      <c r="G417" s="34" t="n"/>
      <c r="H417" s="34" t="n"/>
      <c r="I417" s="34" t="n"/>
      <c r="J417" s="16" t="n"/>
    </row>
    <row r="418">
      <c r="B418" s="42" t="n"/>
      <c r="D418" s="12" t="inlineStr">
        <is>
          <t>Cap Throws that work:</t>
        </is>
      </c>
      <c r="E418" s="34" t="inlineStr">
        <is>
          <t>No Cap Throw Needed</t>
        </is>
      </c>
      <c r="F418" s="34" t="n"/>
      <c r="G418" s="34" t="n"/>
      <c r="H418" s="34" t="n"/>
      <c r="I418" s="34" t="n"/>
      <c r="J418" s="16" t="n"/>
    </row>
    <row r="419">
      <c r="A419" s="43" t="n"/>
      <c r="B419" s="44" t="n"/>
      <c r="C419" s="43" t="n"/>
      <c r="D419" s="19" t="inlineStr">
        <is>
          <t>Other Required:</t>
        </is>
      </c>
      <c r="E419" s="35" t="n"/>
      <c r="F419" s="35" t="n"/>
      <c r="G419" s="35" t="n"/>
      <c r="H419" s="35" t="n"/>
      <c r="I419" s="35" t="n"/>
      <c r="J419" s="16" t="n"/>
    </row>
    <row r="420">
      <c r="A420" s="41" t="b">
        <v>1</v>
      </c>
      <c r="B420" s="31" t="inlineStr">
        <is>
          <t>Sand Kingdom: Peach in the Sand Kingdom</t>
        </is>
      </c>
      <c r="C420" s="35" t="inlineStr">
        <is>
          <t>Spark Pylon</t>
        </is>
      </c>
      <c r="D420" s="12" t="inlineStr">
        <is>
          <t>Minimum Jump Height:</t>
        </is>
      </c>
      <c r="E420" s="34" t="inlineStr">
        <is>
          <t>Single Jump (258)</t>
        </is>
      </c>
      <c r="F420" s="34" t="n"/>
      <c r="G420" s="34" t="n"/>
      <c r="H420" s="34" t="n"/>
      <c r="I420" s="34" t="n"/>
      <c r="J420" s="16" t="n"/>
    </row>
    <row r="421">
      <c r="B421" s="42" t="n"/>
      <c r="D421" s="12" t="inlineStr">
        <is>
          <t>Cap Throws that work:</t>
        </is>
      </c>
      <c r="E421" s="34" t="inlineStr">
        <is>
          <t>Neutral Throw, Up Throw, Down Throw, Spin Throw</t>
        </is>
      </c>
      <c r="F421" s="34" t="n"/>
      <c r="G421" s="34" t="n"/>
      <c r="H421" s="34" t="n"/>
      <c r="I421" s="34" t="n"/>
      <c r="J421" s="16" t="n"/>
    </row>
    <row r="422">
      <c r="A422" s="43" t="n"/>
      <c r="B422" s="44" t="n"/>
      <c r="C422" s="43" t="n"/>
      <c r="D422" s="19" t="inlineStr">
        <is>
          <t>Other Required:</t>
        </is>
      </c>
      <c r="E422" s="35" t="inlineStr">
        <is>
          <t>Capture</t>
        </is>
      </c>
      <c r="F422" s="35" t="n"/>
      <c r="G422" s="35" t="n"/>
      <c r="H422" s="35" t="n"/>
      <c r="I422" s="35" t="n"/>
      <c r="J422" s="16" t="n"/>
    </row>
    <row r="423">
      <c r="A423" s="41" t="b">
        <v>1</v>
      </c>
      <c r="B423" s="31" t="inlineStr">
        <is>
          <t>Sand Kingdom: Mighty Leap from the Palm Tree!</t>
        </is>
      </c>
      <c r="C423" s="35" t="n"/>
      <c r="D423" s="12" t="inlineStr">
        <is>
          <t>Minimum Jump Height:</t>
        </is>
      </c>
      <c r="E423" s="34" t="inlineStr">
        <is>
          <t>Single Jump (258)</t>
        </is>
      </c>
      <c r="F423" s="34" t="inlineStr">
        <is>
          <t>Single Jump (258)</t>
        </is>
      </c>
      <c r="G423" s="34" t="n"/>
      <c r="H423" s="34" t="n"/>
      <c r="I423" s="34" t="n"/>
      <c r="J423" s="16" t="n"/>
    </row>
    <row r="424">
      <c r="B424" s="42" t="n"/>
      <c r="D424" s="12" t="inlineStr">
        <is>
          <t>Cap Throws that work:</t>
        </is>
      </c>
      <c r="E424" s="34" t="inlineStr">
        <is>
          <t>No Cap Throw Needed</t>
        </is>
      </c>
      <c r="F424" s="34" t="inlineStr">
        <is>
          <t>No Cap Throw Needed</t>
        </is>
      </c>
      <c r="G424" s="34" t="n"/>
      <c r="H424" s="34" t="n"/>
      <c r="I424" s="34" t="n"/>
      <c r="J424" s="16" t="n"/>
    </row>
    <row r="425">
      <c r="A425" s="43" t="n"/>
      <c r="B425" s="44" t="n"/>
      <c r="C425" s="43" t="n"/>
      <c r="D425" s="19" t="inlineStr">
        <is>
          <t>Other Required:</t>
        </is>
      </c>
      <c r="E425" s="35" t="inlineStr">
        <is>
          <t>Climb</t>
        </is>
      </c>
      <c r="F425" s="35" t="inlineStr">
        <is>
          <t>Dive</t>
        </is>
      </c>
      <c r="G425" s="35" t="n"/>
      <c r="H425" s="35" t="n"/>
      <c r="I425" s="35" t="n"/>
      <c r="J425" s="16" t="n"/>
    </row>
    <row r="426">
      <c r="A426" s="41" t="b">
        <v>1</v>
      </c>
      <c r="B426" s="31" t="inlineStr">
        <is>
          <t>Sand Kingdom: On the North Pillar</t>
        </is>
      </c>
      <c r="C426" s="34" t="inlineStr">
        <is>
          <t>Glydon</t>
        </is>
      </c>
      <c r="D426" s="12" t="inlineStr">
        <is>
          <t>Minimum Jump Height:</t>
        </is>
      </c>
      <c r="E426" s="34" t="inlineStr">
        <is>
          <t>No Jump Needed</t>
        </is>
      </c>
      <c r="F426" s="34" t="inlineStr">
        <is>
          <t>Long Jump</t>
        </is>
      </c>
      <c r="G426" s="34" t="n"/>
      <c r="H426" s="34" t="n"/>
      <c r="I426" s="34" t="n"/>
      <c r="J426" s="16" t="n"/>
    </row>
    <row r="427">
      <c r="B427" s="42" t="n"/>
      <c r="C427" s="34" t="inlineStr">
        <is>
          <t>Spark pylon</t>
        </is>
      </c>
      <c r="D427" s="12" t="inlineStr">
        <is>
          <t>Cap Throws that work:</t>
        </is>
      </c>
      <c r="E427" s="34" t="inlineStr">
        <is>
          <t>Neutral Throw, Up Throw, Spin Throw, Down Throw</t>
        </is>
      </c>
      <c r="F427" s="34" t="inlineStr">
        <is>
          <t>Neutral Throw, Up Throw, Down Throw, Spin Throw</t>
        </is>
      </c>
      <c r="G427" s="34" t="n"/>
      <c r="H427" s="34" t="n"/>
      <c r="I427" s="34" t="n"/>
      <c r="J427" s="16" t="n"/>
    </row>
    <row r="428">
      <c r="A428" s="43" t="n"/>
      <c r="B428" s="44" t="n"/>
      <c r="C428" s="35" t="n"/>
      <c r="D428" s="19" t="inlineStr">
        <is>
          <t>Other Required:</t>
        </is>
      </c>
      <c r="E428" s="35" t="inlineStr">
        <is>
          <t>Capture</t>
        </is>
      </c>
      <c r="F428" s="35" t="inlineStr">
        <is>
          <t>Capture, None</t>
        </is>
      </c>
      <c r="G428" s="35" t="n"/>
      <c r="H428" s="35" t="n"/>
      <c r="I428" s="35" t="n"/>
      <c r="J428" s="16" t="n"/>
    </row>
    <row r="429">
      <c r="A429" s="41" t="b">
        <v>1</v>
      </c>
      <c r="B429" s="31" t="inlineStr">
        <is>
          <t>Sand Kingdom: Into the Flowing Sands</t>
        </is>
      </c>
      <c r="C429" s="35" t="n"/>
      <c r="D429" s="12" t="inlineStr">
        <is>
          <t>Minimum Jump Height:</t>
        </is>
      </c>
      <c r="E429" s="34" t="inlineStr">
        <is>
          <t>Long Jump</t>
        </is>
      </c>
      <c r="F429" s="34" t="n"/>
      <c r="G429" s="34" t="n"/>
      <c r="H429" s="34" t="n"/>
      <c r="I429" s="34" t="n"/>
      <c r="J429" s="16" t="n"/>
    </row>
    <row r="430">
      <c r="B430" s="42" t="n"/>
      <c r="D430" s="12" t="inlineStr">
        <is>
          <t>Cap Throws that work:</t>
        </is>
      </c>
      <c r="E430" s="34" t="inlineStr">
        <is>
          <t>No Cap Throw Needed</t>
        </is>
      </c>
      <c r="F430" s="34" t="n"/>
      <c r="G430" s="34" t="n"/>
      <c r="H430" s="34" t="n"/>
      <c r="I430" s="34" t="n"/>
      <c r="J430" s="16" t="n"/>
    </row>
    <row r="431">
      <c r="A431" s="43" t="n"/>
      <c r="B431" s="44" t="n"/>
      <c r="C431" s="43" t="n"/>
      <c r="D431" s="19" t="inlineStr">
        <is>
          <t>Other Required:</t>
        </is>
      </c>
      <c r="E431" s="35" t="inlineStr">
        <is>
          <t>None</t>
        </is>
      </c>
      <c r="F431" s="35" t="n"/>
      <c r="G431" s="35" t="n"/>
      <c r="H431" s="35" t="n"/>
      <c r="I431" s="35" t="n"/>
      <c r="J431" s="16" t="n"/>
    </row>
    <row r="432">
      <c r="A432" s="41" t="b">
        <v>1</v>
      </c>
      <c r="B432" s="31" t="inlineStr">
        <is>
          <t>Sand Kingdom: In the Skies Above the Canyon</t>
        </is>
      </c>
      <c r="C432" s="35" t="inlineStr">
        <is>
          <t>Spark pylon</t>
        </is>
      </c>
      <c r="D432" s="12" t="inlineStr">
        <is>
          <t>Minimum Jump Height:</t>
        </is>
      </c>
      <c r="E432" s="34" t="inlineStr">
        <is>
          <t>Long Jump</t>
        </is>
      </c>
      <c r="F432" s="34" t="inlineStr">
        <is>
          <t>Long Jump</t>
        </is>
      </c>
      <c r="G432" s="34" t="n"/>
      <c r="H432" s="34" t="n"/>
      <c r="I432" s="34" t="n"/>
      <c r="J432" s="16" t="n"/>
    </row>
    <row r="433">
      <c r="B433" s="42" t="n"/>
      <c r="D433" s="12" t="inlineStr">
        <is>
          <t>Cap Throws that work:</t>
        </is>
      </c>
      <c r="E433" s="34" t="inlineStr">
        <is>
          <t>No Cap Throw Needed</t>
        </is>
      </c>
      <c r="F433" s="34" t="inlineStr">
        <is>
          <t>Neutral Throw, Up Throw, Down Throw, Spin Throw</t>
        </is>
      </c>
      <c r="G433" s="34" t="n"/>
      <c r="H433" s="34" t="n"/>
      <c r="I433" s="34" t="n"/>
      <c r="J433" s="16" t="n"/>
    </row>
    <row r="434">
      <c r="A434" s="43" t="n"/>
      <c r="B434" s="44" t="n"/>
      <c r="C434" s="43" t="n"/>
      <c r="D434" s="19" t="inlineStr">
        <is>
          <t>Other Required:</t>
        </is>
      </c>
      <c r="E434" s="35" t="n"/>
      <c r="F434" s="35" t="inlineStr">
        <is>
          <t>Capture, None</t>
        </is>
      </c>
      <c r="G434" s="35" t="n"/>
      <c r="H434" s="35" t="n"/>
      <c r="I434" s="35" t="n"/>
      <c r="J434" s="16" t="n"/>
    </row>
    <row r="435">
      <c r="A435" s="41" t="b">
        <v>1</v>
      </c>
      <c r="B435" s="31" t="inlineStr">
        <is>
          <t>Sand Kingdom: Island in the Poison Swamp</t>
        </is>
      </c>
      <c r="C435" s="35" t="n"/>
      <c r="D435" s="12" t="inlineStr">
        <is>
          <t>Minimum Jump Height:</t>
        </is>
      </c>
      <c r="E435" s="34" t="inlineStr">
        <is>
          <t>No Jump Needed</t>
        </is>
      </c>
      <c r="F435" s="34" t="n"/>
      <c r="G435" s="34" t="n"/>
      <c r="H435" s="34" t="n"/>
      <c r="I435" s="34" t="n"/>
      <c r="J435" s="16" t="n"/>
    </row>
    <row r="436">
      <c r="B436" s="42" t="n"/>
      <c r="D436" s="12" t="inlineStr">
        <is>
          <t>Cap Throws that work:</t>
        </is>
      </c>
      <c r="E436" s="34" t="inlineStr">
        <is>
          <t>No Cap Throw Needed</t>
        </is>
      </c>
      <c r="F436" s="34" t="n"/>
      <c r="G436" s="34" t="n"/>
      <c r="H436" s="34" t="n"/>
      <c r="I436" s="34" t="n"/>
      <c r="J436" s="16" t="n"/>
    </row>
    <row r="437">
      <c r="A437" s="43" t="n"/>
      <c r="B437" s="44" t="n"/>
      <c r="C437" s="43" t="n"/>
      <c r="D437" s="19" t="inlineStr">
        <is>
          <t>Other Required:</t>
        </is>
      </c>
      <c r="E437" s="35" t="n"/>
      <c r="F437" s="35" t="n"/>
      <c r="G437" s="35" t="n"/>
      <c r="H437" s="35" t="n"/>
      <c r="I437" s="35" t="n"/>
      <c r="J437" s="16" t="n"/>
    </row>
    <row r="438">
      <c r="A438" s="41" t="b">
        <v>1</v>
      </c>
      <c r="B438" s="31" t="inlineStr">
        <is>
          <t>Sand Kingdom: An Invisible Gleam</t>
        </is>
      </c>
      <c r="C438" s="35" t="n"/>
      <c r="D438" s="12" t="inlineStr">
        <is>
          <t>Minimum Jump Height:</t>
        </is>
      </c>
      <c r="E438" s="34" t="inlineStr">
        <is>
          <t>Long Jump</t>
        </is>
      </c>
      <c r="F438" s="34" t="n"/>
      <c r="G438" s="34" t="n"/>
      <c r="H438" s="34" t="n"/>
      <c r="I438" s="34" t="n"/>
      <c r="J438" s="16" t="n"/>
    </row>
    <row r="439">
      <c r="B439" s="42" t="n"/>
      <c r="D439" s="12" t="inlineStr">
        <is>
          <t>Cap Throws that work:</t>
        </is>
      </c>
      <c r="E439" s="34" t="inlineStr">
        <is>
          <t>Neutral Throw, Up Throw, Down Throw, Spin Throw</t>
        </is>
      </c>
      <c r="F439" s="34" t="n"/>
      <c r="G439" s="34" t="n"/>
      <c r="H439" s="34" t="n"/>
      <c r="I439" s="34" t="n"/>
      <c r="J439" s="16" t="n"/>
    </row>
    <row r="440">
      <c r="A440" s="43" t="n"/>
      <c r="B440" s="44" t="n"/>
      <c r="C440" s="43" t="n"/>
      <c r="D440" s="19" t="inlineStr">
        <is>
          <t>Other Required:</t>
        </is>
      </c>
      <c r="E440" s="35" t="inlineStr">
        <is>
          <t>Ground Pound</t>
        </is>
      </c>
      <c r="F440" s="35" t="n"/>
      <c r="G440" s="35" t="n"/>
      <c r="H440" s="35" t="n"/>
      <c r="I440" s="35" t="n"/>
      <c r="J440" s="16" t="n"/>
    </row>
    <row r="441">
      <c r="A441" s="41" t="b">
        <v>1</v>
      </c>
      <c r="B441" s="31" t="inlineStr">
        <is>
          <t>Sand Kingdom: On the Eastern Pillar</t>
        </is>
      </c>
      <c r="C441" s="35" t="inlineStr">
        <is>
          <t>Bullet Bill</t>
        </is>
      </c>
      <c r="D441" s="12" t="inlineStr">
        <is>
          <t>Minimum Jump Height:</t>
        </is>
      </c>
      <c r="E441" s="34" t="inlineStr">
        <is>
          <t>Long Jump</t>
        </is>
      </c>
      <c r="F441" s="34" t="n"/>
      <c r="G441" s="34" t="n"/>
      <c r="H441" s="34" t="n"/>
      <c r="I441" s="34" t="n"/>
      <c r="J441" s="16" t="n"/>
    </row>
    <row r="442">
      <c r="B442" s="42" t="n"/>
      <c r="D442" s="12" t="inlineStr">
        <is>
          <t>Cap Throws that work:</t>
        </is>
      </c>
      <c r="E442" s="34" t="inlineStr">
        <is>
          <t>Neutral Throw, Up Throw, Down Throw, Spin Throw</t>
        </is>
      </c>
      <c r="F442" s="34" t="n"/>
      <c r="G442" s="34" t="n"/>
      <c r="H442" s="34" t="n"/>
      <c r="I442" s="34" t="n"/>
      <c r="J442" s="16" t="n"/>
    </row>
    <row r="443">
      <c r="A443" s="43" t="n"/>
      <c r="B443" s="44" t="n"/>
      <c r="C443" s="43" t="n"/>
      <c r="D443" s="19" t="inlineStr">
        <is>
          <t>Other Required:</t>
        </is>
      </c>
      <c r="E443" s="35" t="inlineStr">
        <is>
          <t>Capture</t>
        </is>
      </c>
      <c r="F443" s="35" t="n"/>
      <c r="G443" s="35" t="n"/>
      <c r="H443" s="35" t="n"/>
      <c r="I443" s="35" t="n"/>
      <c r="J443" s="16" t="n"/>
    </row>
    <row r="444">
      <c r="A444" s="41" t="b">
        <v>1</v>
      </c>
      <c r="B444" s="31" t="inlineStr">
        <is>
          <t>Sand Kingdom: Caught Hopping in the Desert!</t>
        </is>
      </c>
      <c r="C444" s="35" t="n"/>
      <c r="D444" s="12" t="inlineStr">
        <is>
          <t>Minimum Jump Height:</t>
        </is>
      </c>
      <c r="E444" s="34" t="inlineStr">
        <is>
          <t>Long Jump</t>
        </is>
      </c>
      <c r="F444" s="34" t="n"/>
      <c r="G444" s="34" t="n"/>
      <c r="H444" s="34" t="n"/>
      <c r="I444" s="34" t="n"/>
      <c r="J444" s="16" t="n"/>
    </row>
    <row r="445">
      <c r="B445" s="42" t="n"/>
      <c r="D445" s="12" t="inlineStr">
        <is>
          <t>Cap Throws that work:</t>
        </is>
      </c>
      <c r="E445" s="34" t="inlineStr">
        <is>
          <t>No Cap Throw Needed</t>
        </is>
      </c>
      <c r="F445" s="34" t="n"/>
      <c r="G445" s="34" t="n"/>
      <c r="H445" s="34" t="n"/>
      <c r="I445" s="34" t="n"/>
      <c r="J445" s="16" t="n"/>
    </row>
    <row r="446">
      <c r="A446" s="43" t="n"/>
      <c r="B446" s="44" t="n"/>
      <c r="C446" s="43" t="n"/>
      <c r="D446" s="19" t="inlineStr">
        <is>
          <t>Other Required:</t>
        </is>
      </c>
      <c r="E446" s="35" t="inlineStr">
        <is>
          <t>None</t>
        </is>
      </c>
      <c r="F446" s="35" t="n"/>
      <c r="G446" s="35" t="n"/>
      <c r="H446" s="35" t="n"/>
      <c r="I446" s="35" t="n"/>
      <c r="J446" s="16" t="n"/>
    </row>
    <row r="447">
      <c r="A447" s="41" t="b">
        <v>1</v>
      </c>
      <c r="B447" s="31" t="inlineStr">
        <is>
          <t>Sand Kingdom: Poster Cleanup</t>
        </is>
      </c>
      <c r="C447" s="35" t="n"/>
      <c r="D447" s="12" t="inlineStr">
        <is>
          <t>Minimum Jump Height:</t>
        </is>
      </c>
      <c r="E447" s="34" t="inlineStr">
        <is>
          <t>Double Jump (312)</t>
        </is>
      </c>
      <c r="F447" s="34" t="inlineStr">
        <is>
          <t>Single Jump (258)</t>
        </is>
      </c>
      <c r="G447" s="34" t="n"/>
      <c r="H447" s="34" t="n"/>
      <c r="I447" s="34" t="n"/>
      <c r="J447" s="16" t="n"/>
    </row>
    <row r="448">
      <c r="B448" s="42" t="n"/>
      <c r="D448" s="12" t="inlineStr">
        <is>
          <t>Cap Throws that work:</t>
        </is>
      </c>
      <c r="E448" s="34" t="inlineStr">
        <is>
          <t>Neutral Throw, Spin Throw</t>
        </is>
      </c>
      <c r="F448" s="34" t="inlineStr">
        <is>
          <t>Up Throw</t>
        </is>
      </c>
      <c r="G448" s="34" t="n"/>
      <c r="H448" s="34" t="n"/>
      <c r="I448" s="34" t="n"/>
      <c r="J448" s="16" t="n"/>
    </row>
    <row r="449">
      <c r="A449" s="43" t="n"/>
      <c r="B449" s="44" t="n"/>
      <c r="C449" s="43" t="n"/>
      <c r="D449" s="19" t="inlineStr">
        <is>
          <t>Other Required:</t>
        </is>
      </c>
      <c r="E449" s="35" t="inlineStr">
        <is>
          <t>None</t>
        </is>
      </c>
      <c r="F449" s="35" t="inlineStr">
        <is>
          <t>None</t>
        </is>
      </c>
      <c r="G449" s="35" t="n"/>
      <c r="H449" s="35" t="n"/>
      <c r="I449" s="35" t="n"/>
      <c r="J449" s="16" t="n"/>
    </row>
    <row r="450">
      <c r="A450" s="41" t="b">
        <v>1</v>
      </c>
      <c r="B450" s="31" t="inlineStr">
        <is>
          <t>Sand Kingdom: Taking Notes: Running Down</t>
        </is>
      </c>
      <c r="C450" s="35" t="n"/>
      <c r="D450" s="12" t="inlineStr">
        <is>
          <t>Minimum Jump Height:</t>
        </is>
      </c>
      <c r="E450" s="34" t="inlineStr">
        <is>
          <t>No Jump Needed</t>
        </is>
      </c>
      <c r="F450" s="34" t="inlineStr">
        <is>
          <t>Long Jump</t>
        </is>
      </c>
      <c r="G450" s="34" t="n"/>
      <c r="H450" s="34" t="n"/>
      <c r="I450" s="34" t="n"/>
      <c r="J450" s="16" t="n"/>
    </row>
    <row r="451">
      <c r="B451" s="42" t="n"/>
      <c r="D451" s="12" t="inlineStr">
        <is>
          <t>Cap Throws that work:</t>
        </is>
      </c>
      <c r="E451" s="34" t="inlineStr">
        <is>
          <t>No Cap Throw Needed</t>
        </is>
      </c>
      <c r="F451" s="34" t="inlineStr">
        <is>
          <t>No Cap Throw Needed</t>
        </is>
      </c>
      <c r="G451" s="34" t="n"/>
      <c r="H451" s="34" t="n"/>
      <c r="I451" s="34" t="n"/>
      <c r="J451" s="16" t="n"/>
    </row>
    <row r="452">
      <c r="A452" s="43" t="n"/>
      <c r="B452" s="44" t="n"/>
      <c r="C452" s="43" t="n"/>
      <c r="D452" s="19" t="inlineStr">
        <is>
          <t>Other Required:</t>
        </is>
      </c>
      <c r="E452" s="35" t="n"/>
      <c r="F452" s="35" t="inlineStr">
        <is>
          <t>Roll Boost</t>
        </is>
      </c>
      <c r="G452" s="35" t="n"/>
      <c r="H452" s="35" t="n"/>
      <c r="I452" s="35" t="n"/>
      <c r="J452" s="16" t="n"/>
    </row>
    <row r="453">
      <c r="A453" s="41" t="b">
        <v>1</v>
      </c>
      <c r="B453" s="31" t="inlineStr">
        <is>
          <t>Sand Kingdom: Taking Notes: In the Wall Painting</t>
        </is>
      </c>
      <c r="C453" s="35" t="n"/>
      <c r="D453" s="12" t="inlineStr">
        <is>
          <t>Minimum Jump Height:</t>
        </is>
      </c>
      <c r="E453" s="34" t="inlineStr">
        <is>
          <t>Long Jump</t>
        </is>
      </c>
      <c r="F453" s="34" t="n"/>
      <c r="G453" s="34" t="n"/>
      <c r="H453" s="34" t="n"/>
      <c r="I453" s="34" t="n"/>
      <c r="J453" s="16" t="n"/>
    </row>
    <row r="454">
      <c r="B454" s="42" t="n"/>
      <c r="D454" s="12" t="inlineStr">
        <is>
          <t>Cap Throws that work:</t>
        </is>
      </c>
      <c r="E454" s="34" t="inlineStr">
        <is>
          <t>No Cap Throw Needed</t>
        </is>
      </c>
      <c r="F454" s="34" t="n"/>
      <c r="G454" s="34" t="n"/>
      <c r="H454" s="34" t="n"/>
      <c r="I454" s="34" t="n"/>
      <c r="J454" s="16" t="n"/>
    </row>
    <row r="455">
      <c r="A455" s="43" t="n"/>
      <c r="B455" s="44" t="n"/>
      <c r="C455" s="43" t="n"/>
      <c r="D455" s="19" t="inlineStr">
        <is>
          <t>Other Required:</t>
        </is>
      </c>
      <c r="E455" s="35" t="n"/>
      <c r="F455" s="35" t="n"/>
      <c r="G455" s="35" t="n"/>
      <c r="H455" s="35" t="n"/>
      <c r="I455" s="35" t="n"/>
      <c r="J455" s="16" t="n"/>
    </row>
    <row r="456">
      <c r="A456" s="41" t="b">
        <v>1</v>
      </c>
      <c r="B456" s="31" t="inlineStr">
        <is>
          <t>Sand Kingdom: Love at the Edge of the Desert</t>
        </is>
      </c>
      <c r="C456" s="35" t="inlineStr">
        <is>
          <t>Goomba</t>
        </is>
      </c>
      <c r="D456" s="12" t="inlineStr">
        <is>
          <t>Minimum Jump Height:</t>
        </is>
      </c>
      <c r="E456" s="34" t="inlineStr">
        <is>
          <t>No Jump Needed</t>
        </is>
      </c>
      <c r="F456" s="34" t="n"/>
      <c r="G456" s="34" t="n"/>
      <c r="H456" s="34" t="n"/>
      <c r="I456" s="34" t="n"/>
      <c r="J456" s="16" t="n"/>
    </row>
    <row r="457">
      <c r="B457" s="42" t="n"/>
      <c r="D457" s="12" t="inlineStr">
        <is>
          <t>Cap Throws that work:</t>
        </is>
      </c>
      <c r="E457" s="34" t="inlineStr">
        <is>
          <t>Neutral Throw, Up Throw, Down Throw, Spin Throw</t>
        </is>
      </c>
      <c r="F457" s="34" t="n"/>
      <c r="G457" s="34" t="n"/>
      <c r="H457" s="34" t="n"/>
      <c r="I457" s="34" t="n"/>
      <c r="J457" s="16" t="n"/>
    </row>
    <row r="458">
      <c r="A458" s="43" t="n"/>
      <c r="B458" s="44" t="n"/>
      <c r="C458" s="43" t="n"/>
      <c r="D458" s="19" t="inlineStr">
        <is>
          <t>Other Required:</t>
        </is>
      </c>
      <c r="E458" s="35" t="inlineStr">
        <is>
          <t>Capture</t>
        </is>
      </c>
      <c r="F458" s="35" t="n"/>
      <c r="G458" s="35" t="n"/>
      <c r="H458" s="35" t="n"/>
      <c r="I458" s="35" t="n"/>
      <c r="J458" s="16" t="n"/>
    </row>
    <row r="459">
      <c r="A459" s="41" t="b">
        <v>1</v>
      </c>
      <c r="B459" s="31" t="inlineStr">
        <is>
          <t>Sand Kingdom: More Walking in the Desert!</t>
        </is>
      </c>
      <c r="C459" s="35" t="n"/>
      <c r="D459" s="12" t="inlineStr">
        <is>
          <t>Minimum Jump Height:</t>
        </is>
      </c>
      <c r="E459" s="34" t="inlineStr">
        <is>
          <t>No Jump Needed</t>
        </is>
      </c>
      <c r="F459" s="34" t="n"/>
      <c r="G459" s="34" t="n"/>
      <c r="H459" s="34" t="n"/>
      <c r="I459" s="34" t="n"/>
      <c r="J459" s="16" t="n"/>
    </row>
    <row r="460">
      <c r="B460" s="42" t="n"/>
      <c r="D460" s="12" t="inlineStr">
        <is>
          <t>Cap Throws that work:</t>
        </is>
      </c>
      <c r="E460" s="34" t="inlineStr">
        <is>
          <t>No Cap Throw Needed</t>
        </is>
      </c>
      <c r="F460" s="34" t="n"/>
      <c r="G460" s="34" t="n"/>
      <c r="H460" s="34" t="n"/>
      <c r="I460" s="34" t="n"/>
      <c r="J460" s="16" t="n"/>
    </row>
    <row r="461">
      <c r="A461" s="43" t="n"/>
      <c r="B461" s="44" t="n"/>
      <c r="C461" s="43" t="n"/>
      <c r="D461" s="19" t="inlineStr">
        <is>
          <t>Other Required:</t>
        </is>
      </c>
      <c r="E461" s="35" t="inlineStr">
        <is>
          <t>None</t>
        </is>
      </c>
      <c r="F461" s="35" t="n"/>
      <c r="G461" s="35" t="n"/>
      <c r="H461" s="35" t="n"/>
      <c r="I461" s="35" t="n"/>
      <c r="J461" s="16" t="n"/>
    </row>
    <row r="462">
      <c r="A462" s="41" t="b">
        <v>1</v>
      </c>
      <c r="B462" s="31" t="inlineStr">
        <is>
          <t>Sand Kingdom: Sand Kingdom Master Cup</t>
        </is>
      </c>
      <c r="C462" s="35" t="n"/>
      <c r="D462" s="12" t="inlineStr">
        <is>
          <t>Minimum Jump Height:</t>
        </is>
      </c>
      <c r="E462" s="34" t="inlineStr">
        <is>
          <t>No Jump Needed</t>
        </is>
      </c>
      <c r="F462" s="34" t="inlineStr">
        <is>
          <t>Single Jump (258)</t>
        </is>
      </c>
      <c r="G462" s="34" t="inlineStr">
        <is>
          <t>Long Jump</t>
        </is>
      </c>
      <c r="H462" s="34" t="n"/>
      <c r="I462" s="34" t="n"/>
      <c r="J462" s="16" t="n"/>
    </row>
    <row r="463">
      <c r="B463" s="42" t="n"/>
      <c r="D463" s="12" t="inlineStr">
        <is>
          <t>Cap Throws that work:</t>
        </is>
      </c>
      <c r="E463" s="34" t="inlineStr">
        <is>
          <t>Neutral Throw, Up Throw, Down Throw, Spin Throw</t>
        </is>
      </c>
      <c r="F463" s="34" t="inlineStr">
        <is>
          <t>No Cap Throw Needed</t>
        </is>
      </c>
      <c r="G463" s="34" t="inlineStr">
        <is>
          <t>Neutral Throw, Up Throw, Down Throw, Spin Throw</t>
        </is>
      </c>
      <c r="H463" s="34" t="n"/>
      <c r="I463" s="34" t="n"/>
      <c r="J463" s="16" t="n"/>
    </row>
    <row r="464">
      <c r="A464" s="43" t="n"/>
      <c r="B464" s="44" t="n"/>
      <c r="C464" s="43" t="n"/>
      <c r="D464" s="19" t="inlineStr">
        <is>
          <t>Other Required:</t>
        </is>
      </c>
      <c r="E464" s="35" t="inlineStr">
        <is>
          <t>Capture</t>
        </is>
      </c>
      <c r="F464" s="35" t="n"/>
      <c r="G464" s="35" t="n"/>
      <c r="H464" s="35" t="n"/>
      <c r="I464" s="35" t="n"/>
      <c r="J464" s="16" t="n"/>
    </row>
    <row r="465">
      <c r="A465" s="41" t="b">
        <v>1</v>
      </c>
      <c r="B465" s="31" t="inlineStr">
        <is>
          <t>The Invisible Maze: Where the Transparent Platforms End</t>
        </is>
      </c>
      <c r="C465" s="35" t="n"/>
      <c r="D465" s="12" t="inlineStr">
        <is>
          <t>Minimum Jump Height:</t>
        </is>
      </c>
      <c r="E465" s="34" t="inlineStr">
        <is>
          <t>No Jump Needed</t>
        </is>
      </c>
      <c r="F465" s="34" t="inlineStr">
        <is>
          <t>Long Jump</t>
        </is>
      </c>
      <c r="G465" s="34" t="inlineStr">
        <is>
          <t>Single Jump (258)</t>
        </is>
      </c>
      <c r="H465" s="34" t="inlineStr">
        <is>
          <t>No Jump Needed</t>
        </is>
      </c>
      <c r="I465" s="34" t="inlineStr">
        <is>
          <t>No Jump Needed</t>
        </is>
      </c>
      <c r="J465" s="16" t="inlineStr">
        <is>
          <t>IF EXIT SPAWN: Moon already spawned, second moon TECHNICALLY possible, just really hard</t>
        </is>
      </c>
    </row>
    <row r="466">
      <c r="B466" s="42" t="n"/>
      <c r="D466" s="12" t="inlineStr">
        <is>
          <t>Cap Throws that work:</t>
        </is>
      </c>
      <c r="E466" s="34" t="inlineStr">
        <is>
          <t>Neutral Throw, Up Throw, Down Throw, Spin Throw</t>
        </is>
      </c>
      <c r="F466" s="34" t="inlineStr">
        <is>
          <t>Neutral Throw, Up Throw, Down Throw, Spin Throw</t>
        </is>
      </c>
      <c r="G466" s="34" t="inlineStr">
        <is>
          <t>No Cap Throw Needed</t>
        </is>
      </c>
      <c r="H466" s="34" t="inlineStr">
        <is>
          <t>No Cap Throw Needed</t>
        </is>
      </c>
      <c r="I466" s="34" t="inlineStr">
        <is>
          <t>Neutral Throw, Up Throw, Down Throw, Spin Throw</t>
        </is>
      </c>
      <c r="J466" s="16" t="n"/>
    </row>
    <row r="467">
      <c r="A467" s="43" t="n"/>
      <c r="B467" s="44" t="n"/>
      <c r="C467" s="43" t="n"/>
      <c r="D467" s="19" t="inlineStr">
        <is>
          <t>Other Required:</t>
        </is>
      </c>
      <c r="E467" s="35" t="inlineStr">
        <is>
          <t>Dive</t>
        </is>
      </c>
      <c r="F467" s="35" t="inlineStr">
        <is>
          <t>None</t>
        </is>
      </c>
      <c r="G467" s="35" t="inlineStr">
        <is>
          <t>None</t>
        </is>
      </c>
      <c r="H467" s="35" t="inlineStr">
        <is>
          <t>, Wall Slide, Dive</t>
        </is>
      </c>
      <c r="I467" s="35" t="inlineStr">
        <is>
          <t>, Capture</t>
        </is>
      </c>
      <c r="J467" s="16" t="n"/>
    </row>
    <row r="468">
      <c r="A468" s="41" t="b">
        <v>1</v>
      </c>
      <c r="B468" s="31" t="inlineStr">
        <is>
          <t>The Invisible Maze: Jump Onto the Transparent Lift</t>
        </is>
      </c>
      <c r="C468" s="35" t="n"/>
      <c r="D468" s="12" t="inlineStr">
        <is>
          <t>Minimum Jump Height:</t>
        </is>
      </c>
      <c r="E468" s="34" t="inlineStr">
        <is>
          <t>No Jump Needed</t>
        </is>
      </c>
      <c r="F468" s="34" t="inlineStr">
        <is>
          <t>Long Jump</t>
        </is>
      </c>
      <c r="G468" s="34" t="inlineStr">
        <is>
          <t>No Jump Needed</t>
        </is>
      </c>
      <c r="H468" s="34" t="inlineStr">
        <is>
          <t>No Jump Needed</t>
        </is>
      </c>
      <c r="I468" s="34" t="n"/>
      <c r="J468" s="16" t="n"/>
    </row>
    <row r="469">
      <c r="B469" s="42" t="n"/>
      <c r="D469" s="12" t="inlineStr">
        <is>
          <t>Cap Throws that work:</t>
        </is>
      </c>
      <c r="E469" s="34" t="inlineStr">
        <is>
          <t>Neutral Throw, Up Throw, Down Throw, Spin Throw</t>
        </is>
      </c>
      <c r="F469" s="34" t="inlineStr">
        <is>
          <t>No Cap Throw Needed</t>
        </is>
      </c>
      <c r="G469" s="34" t="inlineStr">
        <is>
          <t>No Cap Throw Needed</t>
        </is>
      </c>
      <c r="H469" s="34" t="inlineStr">
        <is>
          <t>Neutral Throw, Up Throw, Down Throw, Spin Throw</t>
        </is>
      </c>
      <c r="I469" s="34" t="n"/>
      <c r="J469" s="16" t="n"/>
    </row>
    <row r="470">
      <c r="A470" s="43" t="n"/>
      <c r="B470" s="44" t="n"/>
      <c r="C470" s="43" t="n"/>
      <c r="D470" s="19" t="inlineStr">
        <is>
          <t>Other Required:</t>
        </is>
      </c>
      <c r="E470" s="35" t="inlineStr">
        <is>
          <t>Dive</t>
        </is>
      </c>
      <c r="F470" s="35" t="inlineStr">
        <is>
          <t>None</t>
        </is>
      </c>
      <c r="G470" s="35" t="inlineStr">
        <is>
          <t>, Wall Slide, Dive</t>
        </is>
      </c>
      <c r="H470" s="35" t="n"/>
      <c r="I470" s="35" t="n"/>
      <c r="J470" s="16" t="n"/>
    </row>
    <row r="471">
      <c r="A471" s="41" t="b">
        <v>1</v>
      </c>
      <c r="B471" s="31" t="inlineStr">
        <is>
          <t>Colossal Ruins: Colossal Ruins: Dash! Jump!</t>
        </is>
      </c>
      <c r="C471" s="35" t="n"/>
      <c r="D471" s="12" t="inlineStr">
        <is>
          <t>Minimum Jump Height:</t>
        </is>
      </c>
      <c r="E471" s="34" t="inlineStr">
        <is>
          <t>Single Jump (258)</t>
        </is>
      </c>
      <c r="F471" s="29" t="inlineStr">
        <is>
          <t>No Jump Needed</t>
        </is>
      </c>
      <c r="G471" s="34" t="n"/>
      <c r="H471" s="34" t="n"/>
      <c r="I471" s="34" t="n"/>
      <c r="J471" s="16" t="n"/>
    </row>
    <row r="472">
      <c r="B472" s="42" t="n"/>
      <c r="D472" s="12" t="inlineStr">
        <is>
          <t>Cap Throws that work:</t>
        </is>
      </c>
      <c r="E472" s="34" t="inlineStr">
        <is>
          <t>Neutral Throw, Up Throw, Down Throw, Spin Throw</t>
        </is>
      </c>
      <c r="F472" s="29" t="inlineStr">
        <is>
          <t>Neutral Throw, Up Throw, Down Throw, Spin Throw</t>
        </is>
      </c>
      <c r="G472" s="34" t="n"/>
      <c r="H472" s="34" t="n"/>
      <c r="I472" s="34" t="n"/>
      <c r="J472" s="16" t="n"/>
    </row>
    <row r="473">
      <c r="A473" s="43" t="n"/>
      <c r="B473" s="44" t="n"/>
      <c r="C473" s="43" t="n"/>
      <c r="D473" s="19" t="inlineStr">
        <is>
          <t>Other Required:</t>
        </is>
      </c>
      <c r="E473" s="35" t="inlineStr">
        <is>
          <t>None</t>
        </is>
      </c>
      <c r="F473" s="30" t="inlineStr">
        <is>
          <t>Capture</t>
        </is>
      </c>
      <c r="G473" s="35" t="n"/>
      <c r="H473" s="35" t="n"/>
      <c r="I473" s="35" t="n"/>
      <c r="J473" s="16" t="n"/>
    </row>
    <row r="474">
      <c r="A474" s="41" t="b">
        <v>1</v>
      </c>
      <c r="B474" s="31" t="inlineStr">
        <is>
          <t>Colossal Ruins: Sinking Colossal Ruins: Hurry!</t>
        </is>
      </c>
      <c r="C474" s="35" t="n"/>
      <c r="D474" s="12" t="inlineStr">
        <is>
          <t>Minimum Jump Height:</t>
        </is>
      </c>
      <c r="E474" s="34" t="inlineStr">
        <is>
          <t>Single Jump (258)</t>
        </is>
      </c>
      <c r="F474" s="29" t="n"/>
      <c r="G474" s="34" t="n"/>
      <c r="H474" s="34" t="n"/>
      <c r="I474" s="34" t="n"/>
      <c r="J474" s="16" t="n"/>
    </row>
    <row r="475">
      <c r="B475" s="42" t="n"/>
      <c r="D475" s="12" t="inlineStr">
        <is>
          <t>Cap Throws that work:</t>
        </is>
      </c>
      <c r="E475" s="34" t="inlineStr">
        <is>
          <t>Neutral Throw, Up Throw, Down Throw, Spin Throw</t>
        </is>
      </c>
      <c r="F475" s="29" t="n"/>
      <c r="G475" s="34" t="n"/>
      <c r="H475" s="34" t="n"/>
      <c r="I475" s="34" t="n"/>
      <c r="J475" s="16" t="n"/>
    </row>
    <row r="476">
      <c r="A476" s="43" t="n"/>
      <c r="B476" s="44" t="n"/>
      <c r="C476" s="43" t="n"/>
      <c r="D476" s="19" t="inlineStr">
        <is>
          <t>Other Required:</t>
        </is>
      </c>
      <c r="E476" s="35" t="inlineStr">
        <is>
          <t>None</t>
        </is>
      </c>
      <c r="F476" s="30" t="n"/>
      <c r="G476" s="35" t="n"/>
      <c r="H476" s="35" t="n"/>
      <c r="I476" s="35" t="n"/>
      <c r="J476" s="16" t="n"/>
    </row>
    <row r="477">
      <c r="A477" s="41" t="b">
        <v>1</v>
      </c>
      <c r="B477" s="31" t="inlineStr">
        <is>
          <t>Freezing Waterway: Through the Freezing Waterway</t>
        </is>
      </c>
      <c r="C477" s="35" t="inlineStr">
        <is>
          <t>Gushen</t>
        </is>
      </c>
      <c r="D477" s="12" t="inlineStr">
        <is>
          <t>Minimum Jump Height:</t>
        </is>
      </c>
      <c r="E477" s="34" t="inlineStr">
        <is>
          <t>No Jump Needed</t>
        </is>
      </c>
      <c r="F477" s="34" t="n"/>
      <c r="G477" s="34" t="n"/>
      <c r="H477" s="34" t="n"/>
      <c r="I477" s="34" t="n"/>
      <c r="J477" s="16" t="inlineStr">
        <is>
          <t>IF EXIT SPAWN: Moon is spawned, other moon not possible from this side</t>
        </is>
      </c>
    </row>
    <row r="478">
      <c r="B478" s="42" t="n"/>
      <c r="D478" s="12" t="inlineStr">
        <is>
          <t>Cap Throws that work:</t>
        </is>
      </c>
      <c r="E478" s="34" t="inlineStr">
        <is>
          <t>Spin Throw, Down Throw, Up Throw, Neutral Throw</t>
        </is>
      </c>
      <c r="F478" s="34" t="n"/>
      <c r="G478" s="34" t="n"/>
      <c r="H478" s="34" t="n"/>
      <c r="I478" s="34" t="n"/>
      <c r="J478" s="16" t="n"/>
    </row>
    <row r="479">
      <c r="A479" s="43" t="n"/>
      <c r="B479" s="44" t="n"/>
      <c r="C479" s="43" t="n"/>
      <c r="D479" s="19" t="inlineStr">
        <is>
          <t>Other Required:</t>
        </is>
      </c>
      <c r="E479" s="35" t="inlineStr">
        <is>
          <t>Capture</t>
        </is>
      </c>
      <c r="F479" s="35" t="n"/>
      <c r="G479" s="35" t="n"/>
      <c r="H479" s="35" t="n"/>
      <c r="I479" s="35" t="n"/>
      <c r="J479" s="16" t="n"/>
    </row>
    <row r="480">
      <c r="A480" s="41" t="b">
        <v>1</v>
      </c>
      <c r="B480" s="31" t="inlineStr">
        <is>
          <t>Freezing Waterway: Freezing Waterway: Hidden Room</t>
        </is>
      </c>
      <c r="C480" s="35" t="inlineStr">
        <is>
          <t>Gushen</t>
        </is>
      </c>
      <c r="D480" s="12" t="inlineStr">
        <is>
          <t>Minimum Jump Height:</t>
        </is>
      </c>
      <c r="E480" s="34" t="inlineStr">
        <is>
          <t>No Jump Needed</t>
        </is>
      </c>
      <c r="F480" s="34" t="n"/>
      <c r="G480" s="34" t="n"/>
      <c r="H480" s="34" t="n"/>
      <c r="I480" s="34" t="n"/>
      <c r="J480" s="16" t="n"/>
    </row>
    <row r="481">
      <c r="B481" s="42" t="n"/>
      <c r="D481" s="12" t="inlineStr">
        <is>
          <t>Cap Throws that work:</t>
        </is>
      </c>
      <c r="E481" s="34" t="inlineStr">
        <is>
          <t>Spin Throw, Down Throw, Up Throw, Neutral Throw</t>
        </is>
      </c>
      <c r="F481" s="34" t="n"/>
      <c r="G481" s="34" t="n"/>
      <c r="H481" s="34" t="n"/>
      <c r="I481" s="34" t="n"/>
      <c r="J481" s="16" t="n"/>
    </row>
    <row r="482">
      <c r="A482" s="43" t="n"/>
      <c r="B482" s="44" t="n"/>
      <c r="C482" s="43" t="n"/>
      <c r="D482" s="19" t="inlineStr">
        <is>
          <t>Other Required:</t>
        </is>
      </c>
      <c r="E482" s="35" t="inlineStr">
        <is>
          <t>Capture</t>
        </is>
      </c>
      <c r="F482" s="35" t="n"/>
      <c r="G482" s="35" t="n"/>
      <c r="H482" s="35" t="n"/>
      <c r="I482" s="35" t="n"/>
      <c r="J482" s="16" t="n"/>
    </row>
    <row r="483">
      <c r="A483" s="41" t="b">
        <v>1</v>
      </c>
      <c r="B483" s="31" t="inlineStr">
        <is>
          <t>Wooded Kingdom: Road to Sky Garden</t>
        </is>
      </c>
      <c r="C483" s="35" t="inlineStr">
        <is>
          <t>Uproot</t>
        </is>
      </c>
      <c r="D483" s="12" t="inlineStr">
        <is>
          <t>Minimum Jump Height:</t>
        </is>
      </c>
      <c r="E483" s="34" t="inlineStr">
        <is>
          <t>Long Jump</t>
        </is>
      </c>
      <c r="F483" s="34" t="inlineStr">
        <is>
          <t>Long Jump</t>
        </is>
      </c>
      <c r="G483" s="34" t="n"/>
      <c r="H483" s="34" t="n"/>
      <c r="I483" s="34" t="n"/>
      <c r="J483" s="16" t="n"/>
    </row>
    <row r="484">
      <c r="B484" s="42" t="n"/>
      <c r="D484" s="12" t="inlineStr">
        <is>
          <t>Cap Throws that work:</t>
        </is>
      </c>
      <c r="E484" s="34" t="inlineStr">
        <is>
          <t>Neutral Throw, Up Throw, Down Throw, Spin Throw</t>
        </is>
      </c>
      <c r="F484" s="34" t="inlineStr">
        <is>
          <t>Neutral Throw</t>
        </is>
      </c>
      <c r="G484" s="34" t="n"/>
      <c r="H484" s="34" t="n"/>
      <c r="I484" s="34" t="n"/>
      <c r="J484" s="16" t="n"/>
    </row>
    <row r="485">
      <c r="A485" s="43" t="n"/>
      <c r="B485" s="44" t="n"/>
      <c r="C485" s="43" t="n"/>
      <c r="D485" s="19" t="inlineStr">
        <is>
          <t>Other Required:</t>
        </is>
      </c>
      <c r="E485" s="35" t="inlineStr">
        <is>
          <t>Capture</t>
        </is>
      </c>
      <c r="F485" s="35" t="inlineStr">
        <is>
          <t>Dive</t>
        </is>
      </c>
      <c r="G485" s="35" t="n"/>
      <c r="H485" s="35" t="n"/>
      <c r="I485" s="35" t="n"/>
      <c r="J485" s="16" t="n"/>
    </row>
    <row r="486">
      <c r="A486" s="41" t="b">
        <v>1</v>
      </c>
      <c r="B486" s="31" t="inlineStr">
        <is>
          <t>Wooded Kingdom: Flower Thieves of Sky Garden</t>
        </is>
      </c>
      <c r="C486" s="35" t="inlineStr">
        <is>
          <t>Uproot</t>
        </is>
      </c>
      <c r="D486" s="12" t="inlineStr">
        <is>
          <t>Minimum Jump Height:</t>
        </is>
      </c>
      <c r="E486" s="34" t="inlineStr">
        <is>
          <t>Single Jump (258)</t>
        </is>
      </c>
      <c r="F486" s="34" t="inlineStr">
        <is>
          <t>Single Jump (258)</t>
        </is>
      </c>
      <c r="G486" s="34" t="n"/>
      <c r="H486" s="34" t="n"/>
      <c r="I486" s="34" t="n"/>
      <c r="J486" s="16" t="n"/>
    </row>
    <row r="487">
      <c r="B487" s="42" t="n"/>
      <c r="D487" s="12" t="inlineStr">
        <is>
          <t>Cap Throws that work:</t>
        </is>
      </c>
      <c r="E487" s="34" t="inlineStr">
        <is>
          <t>Neutral Throw, Up Throw, Down Throw, Spin Throw</t>
        </is>
      </c>
      <c r="F487" s="34" t="inlineStr">
        <is>
          <t>Neutral Throw</t>
        </is>
      </c>
      <c r="G487" s="34" t="n"/>
      <c r="H487" s="34" t="n"/>
      <c r="I487" s="34" t="n"/>
      <c r="J487" s="16" t="n"/>
    </row>
    <row r="488">
      <c r="A488" s="43" t="n"/>
      <c r="B488" s="44" t="n"/>
      <c r="C488" s="43" t="n"/>
      <c r="D488" s="19" t="inlineStr">
        <is>
          <t>Other Required:</t>
        </is>
      </c>
      <c r="E488" s="35" t="inlineStr">
        <is>
          <t>Capture</t>
        </is>
      </c>
      <c r="F488" s="35" t="inlineStr">
        <is>
          <t>Dive</t>
        </is>
      </c>
      <c r="G488" s="35" t="n"/>
      <c r="H488" s="35" t="n"/>
      <c r="I488" s="35" t="n"/>
      <c r="J488" s="16" t="n"/>
    </row>
    <row r="489">
      <c r="A489" s="41" t="b">
        <v>1</v>
      </c>
      <c r="B489" s="31" t="inlineStr">
        <is>
          <t>Wooded Kingdom: Path to the Secret Flower Field</t>
        </is>
      </c>
      <c r="C489" s="35" t="inlineStr">
        <is>
          <t>Sherm</t>
        </is>
      </c>
      <c r="D489" s="12" t="inlineStr">
        <is>
          <t>Minimum Jump Height:</t>
        </is>
      </c>
      <c r="E489" s="34" t="inlineStr">
        <is>
          <t>Single Jump (258)</t>
        </is>
      </c>
      <c r="F489" s="34" t="inlineStr">
        <is>
          <t>Single Jump (258)</t>
        </is>
      </c>
      <c r="G489" s="34" t="inlineStr">
        <is>
          <t>Single Jump (258)</t>
        </is>
      </c>
      <c r="H489" s="34" t="n"/>
      <c r="I489" s="34" t="n"/>
      <c r="J489" s="16" t="n"/>
    </row>
    <row r="490">
      <c r="B490" s="42" t="n"/>
      <c r="D490" s="12" t="inlineStr">
        <is>
          <t>Cap Throws that work:</t>
        </is>
      </c>
      <c r="E490" s="34" t="inlineStr">
        <is>
          <t>Neutral Throw, Up Throw, Down Throw, Spin Throw</t>
        </is>
      </c>
      <c r="F490" s="34" t="inlineStr">
        <is>
          <t>Neutral Throw, Up Throw, Down Throw, Spin Throw</t>
        </is>
      </c>
      <c r="G490" s="34" t="inlineStr">
        <is>
          <t>Neutral Throw</t>
        </is>
      </c>
      <c r="H490" s="34" t="n"/>
      <c r="I490" s="34" t="n"/>
      <c r="J490" s="16" t="n"/>
    </row>
    <row r="491">
      <c r="A491" s="43" t="n"/>
      <c r="B491" s="44" t="n"/>
      <c r="C491" s="43" t="n"/>
      <c r="D491" s="19" t="inlineStr">
        <is>
          <t>Other Required:</t>
        </is>
      </c>
      <c r="E491" s="35" t="inlineStr">
        <is>
          <t>Capture</t>
        </is>
      </c>
      <c r="F491" s="35" t="inlineStr">
        <is>
          <t>Capture, Climb</t>
        </is>
      </c>
      <c r="G491" s="35" t="inlineStr">
        <is>
          <t>Capture, Dive</t>
        </is>
      </c>
      <c r="H491" s="35" t="n"/>
      <c r="I491" s="35" t="n"/>
      <c r="J491" s="16" t="n"/>
    </row>
    <row r="492">
      <c r="A492" s="41" t="b">
        <v>1</v>
      </c>
      <c r="B492" s="31" t="inlineStr">
        <is>
          <t>Secret Flower Field: Defend the Secret Flower Field!</t>
        </is>
      </c>
      <c r="C492" s="35" t="inlineStr">
        <is>
          <t>Uproot</t>
        </is>
      </c>
      <c r="D492" s="12" t="inlineStr">
        <is>
          <t>Minimum Jump Height:</t>
        </is>
      </c>
      <c r="E492" s="34" t="inlineStr">
        <is>
          <t>Single Jump (258)</t>
        </is>
      </c>
      <c r="F492" s="34" t="inlineStr">
        <is>
          <t>Single Jump (258)</t>
        </is>
      </c>
      <c r="G492" s="34" t="inlineStr">
        <is>
          <t>Single Jump (258)</t>
        </is>
      </c>
      <c r="H492" s="34" t="n"/>
      <c r="I492" s="34" t="n"/>
      <c r="J492" s="16" t="n"/>
    </row>
    <row r="493">
      <c r="B493" s="42" t="n"/>
      <c r="D493" s="12" t="inlineStr">
        <is>
          <t>Cap Throws that work:</t>
        </is>
      </c>
      <c r="E493" s="34" t="inlineStr">
        <is>
          <t>Neutral Throw, Up Throw, Down Throw, Spin Throw</t>
        </is>
      </c>
      <c r="F493" s="34" t="inlineStr">
        <is>
          <t>Neutral Throw, Up Throw, Down Throw, Spin Throw</t>
        </is>
      </c>
      <c r="G493" s="34" t="inlineStr">
        <is>
          <t>Neutral Throw</t>
        </is>
      </c>
      <c r="H493" s="34" t="n"/>
      <c r="I493" s="34" t="n"/>
      <c r="J493" s="16" t="n"/>
    </row>
    <row r="494">
      <c r="A494" s="43" t="n"/>
      <c r="B494" s="44" t="n"/>
      <c r="C494" s="43" t="n"/>
      <c r="D494" s="19" t="inlineStr">
        <is>
          <t>Other Required:</t>
        </is>
      </c>
      <c r="E494" s="35" t="inlineStr">
        <is>
          <t>Capture</t>
        </is>
      </c>
      <c r="F494" s="35" t="inlineStr">
        <is>
          <t>Climb, Capture</t>
        </is>
      </c>
      <c r="G494" s="35" t="inlineStr">
        <is>
          <t>Dive, Capture</t>
        </is>
      </c>
      <c r="H494" s="35" t="n"/>
      <c r="I494" s="35" t="n"/>
      <c r="J494" s="16" t="n"/>
    </row>
    <row r="495">
      <c r="A495" s="41" t="b">
        <v>1</v>
      </c>
      <c r="B495" s="31" t="inlineStr">
        <is>
          <t>Wooded Kingdom: Behind the Rock Wall</t>
        </is>
      </c>
      <c r="C495" s="35" t="inlineStr">
        <is>
          <t>Sherm</t>
        </is>
      </c>
      <c r="D495" s="12" t="inlineStr">
        <is>
          <t>Minimum Jump Height:</t>
        </is>
      </c>
      <c r="E495" s="34" t="inlineStr">
        <is>
          <t>Long Jump</t>
        </is>
      </c>
      <c r="F495" s="34" t="n"/>
      <c r="G495" s="34" t="n"/>
      <c r="H495" s="34" t="n"/>
      <c r="I495" s="34" t="n"/>
      <c r="J495" s="16" t="n"/>
    </row>
    <row r="496">
      <c r="B496" s="42" t="n"/>
      <c r="D496" s="12" t="inlineStr">
        <is>
          <t>Cap Throws that work:</t>
        </is>
      </c>
      <c r="E496" s="34" t="inlineStr">
        <is>
          <t>Neutral Throw, Up Throw, Down Throw, Spin Throw</t>
        </is>
      </c>
      <c r="F496" s="34" t="n"/>
      <c r="G496" s="34" t="n"/>
      <c r="H496" s="34" t="n"/>
      <c r="I496" s="34" t="n"/>
      <c r="J496" s="16" t="n"/>
    </row>
    <row r="497">
      <c r="A497" s="43" t="n"/>
      <c r="B497" s="44" t="n"/>
      <c r="C497" s="43" t="n"/>
      <c r="D497" s="19" t="inlineStr">
        <is>
          <t>Other Required:</t>
        </is>
      </c>
      <c r="E497" s="35" t="inlineStr">
        <is>
          <t>Capture, Climb</t>
        </is>
      </c>
      <c r="F497" s="35" t="n"/>
      <c r="G497" s="35" t="n"/>
      <c r="H497" s="35" t="n"/>
      <c r="I497" s="35" t="n"/>
      <c r="J497" s="16" t="n"/>
    </row>
    <row r="498">
      <c r="A498" s="41" t="b">
        <v>1</v>
      </c>
      <c r="B498" s="31" t="inlineStr">
        <is>
          <t>Wooded Kingdom: Back Way Up the Mountain</t>
        </is>
      </c>
      <c r="C498" s="35" t="inlineStr">
        <is>
          <t>Uproot</t>
        </is>
      </c>
      <c r="D498" s="12" t="inlineStr">
        <is>
          <t>Minimum Jump Height:</t>
        </is>
      </c>
      <c r="E498" s="34" t="inlineStr">
        <is>
          <t>Single Jump (258)</t>
        </is>
      </c>
      <c r="F498" s="34" t="inlineStr">
        <is>
          <t>Single Jump (258)</t>
        </is>
      </c>
      <c r="G498" s="34" t="inlineStr">
        <is>
          <t>Long Jump</t>
        </is>
      </c>
      <c r="H498" s="34" t="n"/>
      <c r="I498" s="34" t="n"/>
      <c r="J498" s="16" t="n"/>
    </row>
    <row r="499">
      <c r="B499" s="42" t="n"/>
      <c r="D499" s="12" t="inlineStr">
        <is>
          <t>Cap Throws that work:</t>
        </is>
      </c>
      <c r="E499" s="34" t="inlineStr">
        <is>
          <t>Neutral Throw, Up Throw, Down Throw, Spin Throw</t>
        </is>
      </c>
      <c r="F499" s="34" t="inlineStr">
        <is>
          <t>Neutral Throw</t>
        </is>
      </c>
      <c r="G499" s="34" t="inlineStr">
        <is>
          <t>Neutral Throw, Up Throw, Down Throw, Spin Throw</t>
        </is>
      </c>
      <c r="H499" s="34" t="n"/>
      <c r="I499" s="34" t="n"/>
      <c r="J499" s="16" t="n"/>
    </row>
    <row r="500">
      <c r="A500" s="43" t="n"/>
      <c r="B500" s="44" t="n"/>
      <c r="C500" s="43" t="n"/>
      <c r="D500" s="19" t="inlineStr">
        <is>
          <t>Other Required:</t>
        </is>
      </c>
      <c r="E500" s="35" t="inlineStr">
        <is>
          <t>, Climb</t>
        </is>
      </c>
      <c r="F500" s="35" t="inlineStr">
        <is>
          <t>, Dive</t>
        </is>
      </c>
      <c r="G500" s="35" t="inlineStr">
        <is>
          <t>, Capture</t>
        </is>
      </c>
      <c r="H500" s="35" t="n"/>
      <c r="I500" s="35" t="n"/>
      <c r="J500" s="16" t="n"/>
    </row>
    <row r="501">
      <c r="A501" s="41" t="b">
        <v>1</v>
      </c>
      <c r="B501" s="31" t="inlineStr">
        <is>
          <t>Wooded Kingdom: Rolling Rock in the Woods</t>
        </is>
      </c>
      <c r="C501" s="35" t="n"/>
      <c r="D501" s="12" t="inlineStr">
        <is>
          <t>Minimum Jump Height:</t>
        </is>
      </c>
      <c r="E501" s="34" t="inlineStr">
        <is>
          <t>No Jump Needed</t>
        </is>
      </c>
      <c r="F501" s="34" t="n"/>
      <c r="G501" s="34" t="n"/>
      <c r="H501" s="34" t="n"/>
      <c r="I501" s="34" t="n"/>
      <c r="J501" s="16" t="n"/>
    </row>
    <row r="502">
      <c r="B502" s="42" t="n"/>
      <c r="D502" s="12" t="inlineStr">
        <is>
          <t>Cap Throws that work:</t>
        </is>
      </c>
      <c r="E502" s="34" t="inlineStr">
        <is>
          <t>No Cap Throw Needed</t>
        </is>
      </c>
      <c r="F502" s="34" t="n"/>
      <c r="G502" s="34" t="n"/>
      <c r="H502" s="34" t="n"/>
      <c r="I502" s="34" t="n"/>
      <c r="J502" s="16" t="n"/>
    </row>
    <row r="503">
      <c r="A503" s="43" t="n"/>
      <c r="B503" s="44" t="n"/>
      <c r="C503" s="43" t="n"/>
      <c r="D503" s="19" t="inlineStr">
        <is>
          <t>Other Required:</t>
        </is>
      </c>
      <c r="E503" s="35" t="n"/>
      <c r="F503" s="35" t="n"/>
      <c r="G503" s="35" t="n"/>
      <c r="H503" s="35" t="n"/>
      <c r="I503" s="35" t="n"/>
      <c r="J503" s="16" t="n"/>
    </row>
    <row r="504">
      <c r="A504" s="41" t="b">
        <v>1</v>
      </c>
      <c r="B504" s="31" t="inlineStr">
        <is>
          <t>Wooded Kingdom: Caught Hopping in the Forest!</t>
        </is>
      </c>
      <c r="C504" s="35" t="n"/>
      <c r="D504" s="12" t="inlineStr">
        <is>
          <t>Minimum Jump Height:</t>
        </is>
      </c>
      <c r="E504" s="34" t="inlineStr">
        <is>
          <t>Long Jump</t>
        </is>
      </c>
      <c r="F504" s="34" t="inlineStr">
        <is>
          <t>No Jump Needed</t>
        </is>
      </c>
      <c r="G504" s="34" t="inlineStr">
        <is>
          <t>No Jump Needed</t>
        </is>
      </c>
      <c r="H504" s="34" t="inlineStr">
        <is>
          <t>No Jump Needed</t>
        </is>
      </c>
      <c r="I504" s="34" t="n"/>
      <c r="J504" s="16" t="n"/>
    </row>
    <row r="505">
      <c r="B505" s="42" t="n"/>
      <c r="D505" s="12" t="inlineStr">
        <is>
          <t>Cap Throws that work:</t>
        </is>
      </c>
      <c r="E505" s="34" t="inlineStr">
        <is>
          <t>No Cap Throw Needed</t>
        </is>
      </c>
      <c r="F505" s="34" t="inlineStr">
        <is>
          <t>Neutral Throw, Up Throw, Down Throw, Spin Throw</t>
        </is>
      </c>
      <c r="G505" s="34" t="inlineStr">
        <is>
          <t>No Cap Throw Needed</t>
        </is>
      </c>
      <c r="H505" s="34" t="inlineStr">
        <is>
          <t>No Cap Throw Needed</t>
        </is>
      </c>
      <c r="I505" s="34" t="n"/>
      <c r="J505" s="16" t="n"/>
    </row>
    <row r="506">
      <c r="A506" s="43" t="n"/>
      <c r="B506" s="44" t="n"/>
      <c r="C506" s="43" t="n"/>
      <c r="D506" s="19" t="inlineStr">
        <is>
          <t>Other Required:</t>
        </is>
      </c>
      <c r="E506" s="35" t="inlineStr">
        <is>
          <t>None</t>
        </is>
      </c>
      <c r="F506" s="35" t="inlineStr">
        <is>
          <t>None</t>
        </is>
      </c>
      <c r="G506" s="35" t="inlineStr">
        <is>
          <t>Roll</t>
        </is>
      </c>
      <c r="H506" s="35" t="inlineStr">
        <is>
          <t>Dive</t>
        </is>
      </c>
      <c r="I506" s="35" t="n"/>
      <c r="J506" s="16" t="n"/>
    </row>
    <row r="507">
      <c r="A507" s="41" t="b">
        <v>1</v>
      </c>
      <c r="B507" s="31" t="inlineStr">
        <is>
          <t>Wooded Kingdom: Thanks for the Charge!</t>
        </is>
      </c>
      <c r="C507" s="35" t="n"/>
      <c r="D507" s="12" t="inlineStr">
        <is>
          <t>Minimum Jump Height:</t>
        </is>
      </c>
      <c r="E507" s="34" t="inlineStr">
        <is>
          <t>Long Jump</t>
        </is>
      </c>
      <c r="F507" s="34" t="n"/>
      <c r="G507" s="34" t="n"/>
      <c r="H507" s="34" t="n"/>
      <c r="I507" s="34" t="n"/>
      <c r="J507" s="16" t="n"/>
    </row>
    <row r="508">
      <c r="B508" s="42" t="n"/>
      <c r="D508" s="12" t="inlineStr">
        <is>
          <t>Cap Throws that work:</t>
        </is>
      </c>
      <c r="E508" s="34" t="inlineStr">
        <is>
          <t>Neutral Throw</t>
        </is>
      </c>
      <c r="F508" s="34" t="n"/>
      <c r="G508" s="34" t="n"/>
      <c r="H508" s="34" t="n"/>
      <c r="I508" s="34" t="n"/>
      <c r="J508" s="16" t="n"/>
    </row>
    <row r="509">
      <c r="A509" s="43" t="n"/>
      <c r="B509" s="44" t="n"/>
      <c r="C509" s="43" t="n"/>
      <c r="D509" s="19" t="inlineStr">
        <is>
          <t>Other Required:</t>
        </is>
      </c>
      <c r="E509" s="35" t="inlineStr">
        <is>
          <t>Ground Pound, Climb</t>
        </is>
      </c>
      <c r="F509" s="35" t="n"/>
      <c r="G509" s="35" t="n"/>
      <c r="H509" s="35" t="n"/>
      <c r="I509" s="35" t="n"/>
      <c r="J509" s="16" t="n"/>
    </row>
    <row r="510">
      <c r="A510" s="41" t="b">
        <v>1</v>
      </c>
      <c r="B510" s="31" t="inlineStr">
        <is>
          <t>Wooded Kingdom: Atop the Tall Tree</t>
        </is>
      </c>
      <c r="C510" s="35" t="inlineStr">
        <is>
          <t>Uproot</t>
        </is>
      </c>
      <c r="D510" s="12" t="inlineStr">
        <is>
          <t>Minimum Jump Height:</t>
        </is>
      </c>
      <c r="E510" s="34" t="inlineStr">
        <is>
          <t>Long Jump</t>
        </is>
      </c>
      <c r="F510" s="34" t="inlineStr">
        <is>
          <t>Long Jump</t>
        </is>
      </c>
      <c r="G510" s="34" t="inlineStr">
        <is>
          <t>Backflip/Vault/Side Flip (496)</t>
        </is>
      </c>
      <c r="H510" s="34" t="n"/>
      <c r="I510" s="34" t="n"/>
      <c r="J510" s="16" t="n"/>
    </row>
    <row r="511">
      <c r="B511" s="42" t="n"/>
      <c r="D511" s="12" t="inlineStr">
        <is>
          <t>Cap Throws that work:</t>
        </is>
      </c>
      <c r="E511" s="34" t="inlineStr">
        <is>
          <t>Neutral Throw, Up Throw, Down Throw, Spin Throw</t>
        </is>
      </c>
      <c r="F511" s="34" t="inlineStr">
        <is>
          <t>Neutral Throw</t>
        </is>
      </c>
      <c r="G511" s="34" t="inlineStr">
        <is>
          <t>Neutral Throw</t>
        </is>
      </c>
      <c r="H511" s="34" t="n"/>
      <c r="I511" s="34" t="n"/>
      <c r="J511" s="16" t="n"/>
    </row>
    <row r="512">
      <c r="A512" s="43" t="n"/>
      <c r="B512" s="44" t="n"/>
      <c r="C512" s="43" t="n"/>
      <c r="D512" s="19" t="inlineStr">
        <is>
          <t>Other Required:</t>
        </is>
      </c>
      <c r="E512" s="35" t="inlineStr">
        <is>
          <t>Capture</t>
        </is>
      </c>
      <c r="F512" s="35" t="inlineStr">
        <is>
          <t>Dive, Wall Slide</t>
        </is>
      </c>
      <c r="G512" s="35" t="inlineStr">
        <is>
          <t>Dive</t>
        </is>
      </c>
      <c r="H512" s="35" t="n"/>
      <c r="I512" s="35" t="n"/>
      <c r="J512" s="16" t="n"/>
    </row>
    <row r="513">
      <c r="A513" s="41" t="b">
        <v>1</v>
      </c>
      <c r="B513" s="31" t="inlineStr">
        <is>
          <t>Wooded Kingdom: Tucked Away Inside the Tunnel</t>
        </is>
      </c>
      <c r="C513" s="35" t="inlineStr">
        <is>
          <t>Fire Bro, Uproot</t>
        </is>
      </c>
      <c r="D513" s="12" t="inlineStr">
        <is>
          <t>Minimum Jump Height:</t>
        </is>
      </c>
      <c r="E513" s="34" t="inlineStr">
        <is>
          <t>Long Jump</t>
        </is>
      </c>
      <c r="F513" s="34" t="inlineStr">
        <is>
          <t>Long Jump</t>
        </is>
      </c>
      <c r="G513" s="34" t="inlineStr">
        <is>
          <t>Single Jump (258)</t>
        </is>
      </c>
      <c r="H513" s="34" t="n"/>
      <c r="I513" s="34" t="n"/>
      <c r="J513" s="16" t="n"/>
    </row>
    <row r="514">
      <c r="B514" s="42" t="n"/>
      <c r="D514" s="12" t="inlineStr">
        <is>
          <t>Cap Throws that work:</t>
        </is>
      </c>
      <c r="E514" s="34" t="inlineStr">
        <is>
          <t>Neutral Throw, Up Throw, Down Throw, Spin Throw</t>
        </is>
      </c>
      <c r="F514" s="34" t="inlineStr">
        <is>
          <t>Neutral Throw</t>
        </is>
      </c>
      <c r="G514" s="34" t="inlineStr">
        <is>
          <t>Neutral Throw</t>
        </is>
      </c>
      <c r="H514" s="34" t="n"/>
      <c r="I514" s="34" t="n"/>
      <c r="J514" s="16" t="n"/>
    </row>
    <row r="515">
      <c r="A515" s="43" t="n"/>
      <c r="B515" s="44" t="n"/>
      <c r="C515" s="43" t="n"/>
      <c r="D515" s="19" t="inlineStr">
        <is>
          <t>Other Required:</t>
        </is>
      </c>
      <c r="E515" s="35" t="inlineStr">
        <is>
          <t>Capture</t>
        </is>
      </c>
      <c r="F515" s="35" t="inlineStr">
        <is>
          <t>Dive, Wall Slide</t>
        </is>
      </c>
      <c r="G515" s="35" t="inlineStr">
        <is>
          <t>Dive</t>
        </is>
      </c>
      <c r="H515" s="35" t="n"/>
      <c r="I515" s="35" t="n"/>
      <c r="J515" s="16" t="n"/>
    </row>
    <row r="516">
      <c r="A516" s="41" t="b">
        <v>1</v>
      </c>
      <c r="B516" s="31" t="inlineStr">
        <is>
          <t>Wooded Kingdom: Over the Cliff's Edge</t>
        </is>
      </c>
      <c r="C516" s="35" t="inlineStr">
        <is>
          <t>Sherm</t>
        </is>
      </c>
      <c r="D516" s="12" t="inlineStr">
        <is>
          <t>Minimum Jump Height:</t>
        </is>
      </c>
      <c r="E516" s="34" t="inlineStr">
        <is>
          <t>Backflip/Vault/Side Flip (496)</t>
        </is>
      </c>
      <c r="F516" s="34" t="inlineStr">
        <is>
          <t>Single Jump (258)</t>
        </is>
      </c>
      <c r="G516" s="34" t="n"/>
      <c r="H516" s="34" t="n"/>
      <c r="I516" s="34" t="n"/>
      <c r="J516" s="16" t="n"/>
    </row>
    <row r="517">
      <c r="B517" s="42" t="n"/>
      <c r="D517" s="12" t="inlineStr">
        <is>
          <t>Cap Throws that work:</t>
        </is>
      </c>
      <c r="E517" s="34" t="inlineStr">
        <is>
          <t>Up Throw, Down Throw</t>
        </is>
      </c>
      <c r="F517" s="34" t="inlineStr">
        <is>
          <t>Neutral Throw</t>
        </is>
      </c>
      <c r="G517" s="34" t="n"/>
      <c r="H517" s="34" t="n"/>
      <c r="I517" s="34" t="n"/>
      <c r="J517" s="16" t="n"/>
    </row>
    <row r="518">
      <c r="A518" s="43" t="n"/>
      <c r="B518" s="44" t="n"/>
      <c r="C518" s="43" t="n"/>
      <c r="D518" s="19" t="inlineStr">
        <is>
          <t>Other Required:</t>
        </is>
      </c>
      <c r="E518" s="35" t="n"/>
      <c r="F518" s="35" t="inlineStr">
        <is>
          <t xml:space="preserve">Climb, Capture, Wall Slide, Dive, </t>
        </is>
      </c>
      <c r="G518" s="35" t="n"/>
      <c r="H518" s="35" t="n"/>
      <c r="I518" s="35" t="n"/>
      <c r="J518" s="16" t="n"/>
    </row>
    <row r="519">
      <c r="A519" s="41" t="b">
        <v>1</v>
      </c>
      <c r="B519" s="31" t="inlineStr">
        <is>
          <t>Wooded Kingdom: The Nut 'Round the Corner</t>
        </is>
      </c>
      <c r="C519" s="35" t="inlineStr">
        <is>
          <t>Uproot, Fire Bro</t>
        </is>
      </c>
      <c r="D519" s="12" t="inlineStr">
        <is>
          <t>Minimum Jump Height:</t>
        </is>
      </c>
      <c r="E519" s="34" t="inlineStr">
        <is>
          <t>Long Jump</t>
        </is>
      </c>
      <c r="F519" s="34" t="inlineStr">
        <is>
          <t>Long Jump</t>
        </is>
      </c>
      <c r="G519" s="34" t="inlineStr">
        <is>
          <t>Double Jump (312)</t>
        </is>
      </c>
      <c r="H519" s="34" t="n"/>
      <c r="I519" s="34" t="n"/>
      <c r="J519" s="16" t="n"/>
    </row>
    <row r="520">
      <c r="B520" s="42" t="n"/>
      <c r="D520" s="12" t="inlineStr">
        <is>
          <t>Cap Throws that work:</t>
        </is>
      </c>
      <c r="E520" s="34" t="inlineStr">
        <is>
          <t>Neutral Throw</t>
        </is>
      </c>
      <c r="F520" s="34" t="inlineStr">
        <is>
          <t>Neutral Throw</t>
        </is>
      </c>
      <c r="G520" s="34" t="inlineStr">
        <is>
          <t>Neutral Throw</t>
        </is>
      </c>
      <c r="H520" s="34" t="n"/>
      <c r="I520" s="34" t="n"/>
      <c r="J520" s="16" t="n"/>
    </row>
    <row r="521">
      <c r="A521" s="43" t="n"/>
      <c r="B521" s="44" t="n"/>
      <c r="C521" s="43" t="n"/>
      <c r="D521" s="19" t="inlineStr">
        <is>
          <t>Other Required:</t>
        </is>
      </c>
      <c r="E521" s="35" t="inlineStr">
        <is>
          <t>Dive, Wall Slide</t>
        </is>
      </c>
      <c r="F521" s="35" t="inlineStr">
        <is>
          <t>Capture</t>
        </is>
      </c>
      <c r="G521" s="35" t="inlineStr">
        <is>
          <t>Dive</t>
        </is>
      </c>
      <c r="H521" s="35" t="n"/>
      <c r="I521" s="35" t="n"/>
      <c r="J521" s="16" t="n"/>
    </row>
    <row r="522">
      <c r="A522" s="41" t="b">
        <v>1</v>
      </c>
      <c r="B522" s="31" t="inlineStr">
        <is>
          <t>Wooded Kingdom: Climb the Cliff to Get the Nut</t>
        </is>
      </c>
      <c r="C522" s="35" t="inlineStr">
        <is>
          <t>Fire Bro, Uproot</t>
        </is>
      </c>
      <c r="D522" s="12" t="inlineStr">
        <is>
          <t>Minimum Jump Height:</t>
        </is>
      </c>
      <c r="E522" s="34" t="inlineStr">
        <is>
          <t>Long Jump</t>
        </is>
      </c>
      <c r="F522" s="34" t="inlineStr">
        <is>
          <t>Long Jump</t>
        </is>
      </c>
      <c r="G522" s="34" t="inlineStr">
        <is>
          <t>Long Jump</t>
        </is>
      </c>
      <c r="H522" s="34" t="inlineStr">
        <is>
          <t>Single Jump (258)</t>
        </is>
      </c>
      <c r="I522" s="34" t="n"/>
      <c r="J522" s="16" t="n"/>
    </row>
    <row r="523">
      <c r="B523" s="42" t="n"/>
      <c r="D523" s="12" t="inlineStr">
        <is>
          <t>Cap Throws that work:</t>
        </is>
      </c>
      <c r="E523" s="34" t="inlineStr">
        <is>
          <t>Neutral Throw</t>
        </is>
      </c>
      <c r="F523" s="34" t="inlineStr">
        <is>
          <t>Neutral Throw</t>
        </is>
      </c>
      <c r="G523" s="34" t="inlineStr">
        <is>
          <t>Neutral Throw, Down Throw, Up Throw, Spin Throw</t>
        </is>
      </c>
      <c r="H523" s="34" t="inlineStr">
        <is>
          <t>No Cap Throw Needed</t>
        </is>
      </c>
      <c r="I523" s="34" t="n"/>
      <c r="J523" s="16" t="n"/>
    </row>
    <row r="524">
      <c r="A524" s="43" t="n"/>
      <c r="B524" s="44" t="n"/>
      <c r="C524" s="43" t="n"/>
      <c r="D524" s="19" t="inlineStr">
        <is>
          <t>Other Required:</t>
        </is>
      </c>
      <c r="E524" s="35" t="inlineStr">
        <is>
          <t>Dive</t>
        </is>
      </c>
      <c r="F524" s="35" t="inlineStr">
        <is>
          <t>Wall Slide</t>
        </is>
      </c>
      <c r="G524" s="35" t="inlineStr">
        <is>
          <t>Capture</t>
        </is>
      </c>
      <c r="H524" s="35" t="inlineStr">
        <is>
          <t>Wall Slide, Dive</t>
        </is>
      </c>
      <c r="I524" s="35" t="n"/>
      <c r="J524" s="16" t="n"/>
    </row>
    <row r="525">
      <c r="A525" s="41" t="b">
        <v>1</v>
      </c>
      <c r="B525" s="31" t="inlineStr">
        <is>
          <t>Wooded Kingdom: The Nut in the Red Maze</t>
        </is>
      </c>
      <c r="C525" s="35" t="inlineStr">
        <is>
          <t>Uproot</t>
        </is>
      </c>
      <c r="D525" s="12" t="inlineStr">
        <is>
          <t>Minimum Jump Height:</t>
        </is>
      </c>
      <c r="E525" s="34" t="inlineStr">
        <is>
          <t>Long Jump</t>
        </is>
      </c>
      <c r="F525" s="34" t="inlineStr">
        <is>
          <t>Long Jump</t>
        </is>
      </c>
      <c r="G525" s="34" t="n"/>
      <c r="H525" s="34" t="n"/>
      <c r="I525" s="34" t="n"/>
      <c r="J525" s="16" t="n"/>
    </row>
    <row r="526">
      <c r="B526" s="42" t="n"/>
      <c r="D526" s="12" t="inlineStr">
        <is>
          <t>Cap Throws that work:</t>
        </is>
      </c>
      <c r="E526" s="34" t="inlineStr">
        <is>
          <t>Neutral Throw, Up Throw, Down Throw, Spin Throw</t>
        </is>
      </c>
      <c r="F526" s="34" t="inlineStr">
        <is>
          <t>Neutral Throw</t>
        </is>
      </c>
      <c r="G526" s="34" t="n"/>
      <c r="H526" s="34" t="n"/>
      <c r="I526" s="34" t="n"/>
      <c r="J526" s="16" t="n"/>
    </row>
    <row r="527">
      <c r="A527" s="43" t="n"/>
      <c r="B527" s="44" t="n"/>
      <c r="C527" s="43" t="n"/>
      <c r="D527" s="19" t="inlineStr">
        <is>
          <t>Other Required:</t>
        </is>
      </c>
      <c r="E527" s="35" t="inlineStr">
        <is>
          <t>Capture</t>
        </is>
      </c>
      <c r="F527" s="35" t="inlineStr">
        <is>
          <t>Ground Pound, Dive, Wall Slide</t>
        </is>
      </c>
      <c r="G527" s="35" t="n"/>
      <c r="H527" s="35" t="n"/>
      <c r="I527" s="35" t="n"/>
      <c r="J527" s="16" t="n"/>
    </row>
    <row r="528">
      <c r="A528" s="41" t="b">
        <v>1</v>
      </c>
      <c r="B528" s="31" t="inlineStr">
        <is>
          <t>Wooded Kingdom: The Nut at the Dead End</t>
        </is>
      </c>
      <c r="C528" s="35" t="inlineStr">
        <is>
          <t>Uproot</t>
        </is>
      </c>
      <c r="D528" s="12" t="inlineStr">
        <is>
          <t>Minimum Jump Height:</t>
        </is>
      </c>
      <c r="E528" s="34" t="inlineStr">
        <is>
          <t>Long Jump</t>
        </is>
      </c>
      <c r="F528" s="34" t="n"/>
      <c r="G528" s="34" t="n"/>
      <c r="H528" s="34" t="n"/>
      <c r="I528" s="34" t="n"/>
      <c r="J528" s="16" t="n"/>
    </row>
    <row r="529">
      <c r="B529" s="42" t="n"/>
      <c r="D529" s="12" t="inlineStr">
        <is>
          <t>Cap Throws that work:</t>
        </is>
      </c>
      <c r="E529" s="34" t="inlineStr">
        <is>
          <t>Neutral Throw, Up Throw, Down Throw, Spin Throw</t>
        </is>
      </c>
      <c r="F529" s="34" t="n"/>
      <c r="G529" s="34" t="n"/>
      <c r="H529" s="34" t="n"/>
      <c r="I529" s="34" t="n"/>
      <c r="J529" s="16" t="n"/>
    </row>
    <row r="530">
      <c r="A530" s="43" t="n"/>
      <c r="B530" s="44" t="n"/>
      <c r="C530" s="43" t="n"/>
      <c r="D530" s="19" t="inlineStr">
        <is>
          <t>Other Required:</t>
        </is>
      </c>
      <c r="E530" s="35" t="inlineStr">
        <is>
          <t>Capture</t>
        </is>
      </c>
      <c r="F530" s="35" t="n"/>
      <c r="G530" s="35" t="n"/>
      <c r="H530" s="35" t="n"/>
      <c r="I530" s="35" t="n"/>
      <c r="J530" s="16" t="n"/>
    </row>
    <row r="531">
      <c r="A531" s="41" t="b">
        <v>1</v>
      </c>
      <c r="B531" s="31" t="inlineStr">
        <is>
          <t>Wooded Kingdom: Cracked Nut on a Crumbling Tower</t>
        </is>
      </c>
      <c r="C531" s="35" t="inlineStr">
        <is>
          <t>Uproot</t>
        </is>
      </c>
      <c r="D531" s="12" t="inlineStr">
        <is>
          <t>Minimum Jump Height:</t>
        </is>
      </c>
      <c r="E531" s="34" t="inlineStr">
        <is>
          <t>Long Jump</t>
        </is>
      </c>
      <c r="F531" s="34" t="n"/>
      <c r="G531" s="34" t="n"/>
      <c r="H531" s="34" t="n"/>
      <c r="I531" s="34" t="n"/>
      <c r="J531" s="16" t="n"/>
    </row>
    <row r="532">
      <c r="B532" s="42" t="n"/>
      <c r="D532" s="12" t="inlineStr">
        <is>
          <t>Cap Throws that work:</t>
        </is>
      </c>
      <c r="E532" s="34" t="inlineStr">
        <is>
          <t>Neutral Throw, Up Throw, Down Throw, Spin Throw</t>
        </is>
      </c>
      <c r="F532" s="34" t="n"/>
      <c r="G532" s="34" t="n"/>
      <c r="H532" s="34" t="n"/>
      <c r="I532" s="34" t="n"/>
      <c r="J532" s="16" t="n"/>
    </row>
    <row r="533">
      <c r="A533" s="43" t="n"/>
      <c r="B533" s="44" t="n"/>
      <c r="C533" s="43" t="n"/>
      <c r="D533" s="19" t="inlineStr">
        <is>
          <t>Other Required:</t>
        </is>
      </c>
      <c r="E533" s="35" t="inlineStr">
        <is>
          <t>Capture</t>
        </is>
      </c>
      <c r="F533" s="35" t="n"/>
      <c r="G533" s="35" t="n"/>
      <c r="H533" s="35" t="n"/>
      <c r="I533" s="35" t="n"/>
      <c r="J533" s="16" t="n"/>
    </row>
    <row r="534">
      <c r="A534" s="41" t="b">
        <v>1</v>
      </c>
      <c r="B534" s="31" t="inlineStr">
        <is>
          <t>Wooded Kingdom: The Nut that Grew on the Tall Fence</t>
        </is>
      </c>
      <c r="C534" s="35" t="inlineStr">
        <is>
          <t>Uproot</t>
        </is>
      </c>
      <c r="D534" s="12" t="inlineStr">
        <is>
          <t>Minimum Jump Height:</t>
        </is>
      </c>
      <c r="E534" s="34" t="inlineStr">
        <is>
          <t>Single Jump (258)</t>
        </is>
      </c>
      <c r="F534" s="34" t="inlineStr">
        <is>
          <t>Single Jump (258)</t>
        </is>
      </c>
      <c r="G534" s="34" t="inlineStr">
        <is>
          <t>Long Jump</t>
        </is>
      </c>
      <c r="H534" s="34" t="n"/>
      <c r="I534" s="34" t="n"/>
      <c r="J534" s="16" t="n"/>
    </row>
    <row r="535">
      <c r="B535" s="42" t="n"/>
      <c r="D535" s="12" t="inlineStr">
        <is>
          <t>Cap Throws that work:</t>
        </is>
      </c>
      <c r="E535" s="34" t="inlineStr">
        <is>
          <t>Neutral Throw, Up Throw, Down Throw, Spin Throw</t>
        </is>
      </c>
      <c r="F535" s="34" t="inlineStr">
        <is>
          <t>Neutral Throw</t>
        </is>
      </c>
      <c r="G535" s="34" t="inlineStr">
        <is>
          <t>Neutral Throw, Up Throw, Down Throw, Spin Throw</t>
        </is>
      </c>
      <c r="H535" s="34" t="n"/>
      <c r="I535" s="34" t="n"/>
      <c r="J535" s="16" t="n"/>
    </row>
    <row r="536">
      <c r="A536" s="43" t="n"/>
      <c r="B536" s="44" t="n"/>
      <c r="C536" s="43" t="n"/>
      <c r="D536" s="19" t="inlineStr">
        <is>
          <t>Other Required:</t>
        </is>
      </c>
      <c r="E536" s="35" t="inlineStr">
        <is>
          <t>Climb</t>
        </is>
      </c>
      <c r="F536" s="35" t="inlineStr">
        <is>
          <t>Dive</t>
        </is>
      </c>
      <c r="G536" s="35" t="inlineStr">
        <is>
          <t>Capture</t>
        </is>
      </c>
      <c r="H536" s="35" t="n"/>
      <c r="I536" s="35" t="n"/>
      <c r="J536" s="16" t="n"/>
    </row>
    <row r="537">
      <c r="A537" s="41" t="b">
        <v>1</v>
      </c>
      <c r="B537" s="31" t="inlineStr">
        <is>
          <t>Wooded Kingdom: Fire in the Cave</t>
        </is>
      </c>
      <c r="C537" s="35" t="n"/>
      <c r="D537" s="12" t="inlineStr">
        <is>
          <t>Minimum Jump Height:</t>
        </is>
      </c>
      <c r="E537" s="34" t="inlineStr">
        <is>
          <t>Long Jump</t>
        </is>
      </c>
      <c r="F537" s="34" t="n"/>
      <c r="G537" s="34" t="n"/>
      <c r="H537" s="34" t="n"/>
      <c r="I537" s="34" t="n"/>
      <c r="J537" s="16" t="n"/>
    </row>
    <row r="538">
      <c r="B538" s="42" t="n"/>
      <c r="D538" s="12" t="inlineStr">
        <is>
          <t>Cap Throws that work:</t>
        </is>
      </c>
      <c r="E538" s="34" t="inlineStr">
        <is>
          <t>Neutral Throw, Up Throw, Down Throw, Spin Throw</t>
        </is>
      </c>
      <c r="F538" s="34" t="n"/>
      <c r="G538" s="34" t="n"/>
      <c r="H538" s="34" t="n"/>
      <c r="I538" s="34" t="n"/>
      <c r="J538" s="16" t="n"/>
    </row>
    <row r="539">
      <c r="A539" s="43" t="n"/>
      <c r="B539" s="44" t="n"/>
      <c r="C539" s="43" t="n"/>
      <c r="D539" s="19" t="inlineStr">
        <is>
          <t>Other Required:</t>
        </is>
      </c>
      <c r="E539" s="35" t="inlineStr">
        <is>
          <t>None</t>
        </is>
      </c>
      <c r="F539" s="35" t="n"/>
      <c r="G539" s="35" t="n"/>
      <c r="H539" s="35" t="n"/>
      <c r="I539" s="35" t="n"/>
      <c r="J539" s="16" t="n"/>
    </row>
    <row r="540">
      <c r="A540" s="41" t="b">
        <v>1</v>
      </c>
      <c r="B540" s="31" t="inlineStr">
        <is>
          <t>Wooded Kingdom: Hey Out There, Captain Toad!</t>
        </is>
      </c>
      <c r="C540" s="35" t="inlineStr">
        <is>
          <t>Glydon</t>
        </is>
      </c>
      <c r="D540" s="12" t="inlineStr">
        <is>
          <t>Minimum Jump Height:</t>
        </is>
      </c>
      <c r="E540" s="34" t="inlineStr">
        <is>
          <t>Single Jump (258)</t>
        </is>
      </c>
      <c r="F540" s="34" t="n"/>
      <c r="G540" s="34" t="n"/>
      <c r="H540" s="34" t="n"/>
      <c r="I540" s="34" t="n"/>
      <c r="J540" s="16" t="n"/>
    </row>
    <row r="541">
      <c r="B541" s="42" t="n"/>
      <c r="D541" s="12" t="inlineStr">
        <is>
          <t>Cap Throws that work:</t>
        </is>
      </c>
      <c r="E541" s="34" t="inlineStr">
        <is>
          <t>Neutral Throw</t>
        </is>
      </c>
      <c r="F541" s="34" t="n"/>
      <c r="G541" s="34" t="n"/>
      <c r="H541" s="34" t="n"/>
      <c r="I541" s="34" t="n"/>
      <c r="J541" s="16" t="n"/>
    </row>
    <row r="542">
      <c r="A542" s="43" t="n"/>
      <c r="B542" s="44" t="n"/>
      <c r="C542" s="43" t="n"/>
      <c r="D542" s="19" t="inlineStr">
        <is>
          <t>Other Required:</t>
        </is>
      </c>
      <c r="E542" s="35" t="inlineStr">
        <is>
          <t>Capture</t>
        </is>
      </c>
      <c r="F542" s="35" t="n"/>
      <c r="G542" s="35" t="n"/>
      <c r="H542" s="35" t="n"/>
      <c r="I542" s="35" t="n"/>
      <c r="J542" s="16" t="n"/>
    </row>
    <row r="543">
      <c r="A543" s="41" t="b">
        <v>1</v>
      </c>
      <c r="B543" s="31" t="inlineStr">
        <is>
          <t>Wooded Kingdom: Love in the Forest Ruins</t>
        </is>
      </c>
      <c r="C543" s="35" t="inlineStr">
        <is>
          <t>Goomba</t>
        </is>
      </c>
      <c r="D543" s="12" t="inlineStr">
        <is>
          <t>Minimum Jump Height:</t>
        </is>
      </c>
      <c r="E543" s="34" t="inlineStr">
        <is>
          <t>Long Jump</t>
        </is>
      </c>
      <c r="F543" s="34" t="n"/>
      <c r="G543" s="34" t="n"/>
      <c r="H543" s="34" t="n"/>
      <c r="I543" s="34" t="n"/>
      <c r="J543" s="16" t="n"/>
    </row>
    <row r="544">
      <c r="B544" s="42" t="n"/>
      <c r="D544" s="12" t="inlineStr">
        <is>
          <t>Cap Throws that work:</t>
        </is>
      </c>
      <c r="E544" s="34" t="inlineStr">
        <is>
          <t>Neutral Throw, Up Throw, Down Throw, Spin Throw</t>
        </is>
      </c>
      <c r="F544" s="34" t="n"/>
      <c r="G544" s="34" t="n"/>
      <c r="H544" s="34" t="n"/>
      <c r="I544" s="34" t="n"/>
      <c r="J544" s="16" t="n"/>
    </row>
    <row r="545">
      <c r="A545" s="43" t="n"/>
      <c r="B545" s="44" t="n"/>
      <c r="C545" s="43" t="n"/>
      <c r="D545" s="19" t="inlineStr">
        <is>
          <t>Other Required:</t>
        </is>
      </c>
      <c r="E545" s="35" t="inlineStr">
        <is>
          <t>Climb</t>
        </is>
      </c>
      <c r="F545" s="35" t="n"/>
      <c r="G545" s="35" t="n"/>
      <c r="H545" s="35" t="n"/>
      <c r="I545" s="35" t="n"/>
      <c r="J545" s="16" t="n"/>
    </row>
    <row r="546">
      <c r="A546" s="41" t="b">
        <v>1</v>
      </c>
      <c r="B546" s="31" t="inlineStr">
        <is>
          <t>Wooded Kingdom: Inside a Rock in the Forest</t>
        </is>
      </c>
      <c r="C546" s="35" t="inlineStr">
        <is>
          <t>Sherm</t>
        </is>
      </c>
      <c r="D546" s="12" t="inlineStr">
        <is>
          <t>Minimum Jump Height:</t>
        </is>
      </c>
      <c r="E546" s="34" t="inlineStr">
        <is>
          <t>No Jump Needed</t>
        </is>
      </c>
      <c r="F546" s="34" t="n"/>
      <c r="G546" s="34" t="n"/>
      <c r="H546" s="34" t="n"/>
      <c r="I546" s="34" t="n"/>
      <c r="J546" s="16" t="n"/>
    </row>
    <row r="547">
      <c r="B547" s="42" t="n"/>
      <c r="D547" s="12" t="inlineStr">
        <is>
          <t>Cap Throws that work:</t>
        </is>
      </c>
      <c r="E547" s="34" t="inlineStr">
        <is>
          <t>No Cap Throw Needed</t>
        </is>
      </c>
      <c r="F547" s="34" t="n"/>
      <c r="G547" s="34" t="n"/>
      <c r="H547" s="34" t="n"/>
      <c r="I547" s="34" t="n"/>
      <c r="J547" s="16" t="n"/>
    </row>
    <row r="548">
      <c r="A548" s="43" t="n"/>
      <c r="B548" s="44" t="n"/>
      <c r="C548" s="43" t="n"/>
      <c r="D548" s="19" t="inlineStr">
        <is>
          <t>Other Required:</t>
        </is>
      </c>
      <c r="E548" s="35" t="inlineStr">
        <is>
          <t>Capture</t>
        </is>
      </c>
      <c r="F548" s="35" t="n"/>
      <c r="G548" s="35" t="n"/>
      <c r="H548" s="35" t="n"/>
      <c r="I548" s="35" t="n"/>
      <c r="J548" s="16" t="n"/>
    </row>
    <row r="549">
      <c r="A549" s="41" t="b">
        <v>1</v>
      </c>
      <c r="B549" s="31" t="inlineStr">
        <is>
          <t>Wooded Kingdom: Shopping in Steam Gardens</t>
        </is>
      </c>
      <c r="C549" s="35" t="n"/>
      <c r="D549" s="12" t="inlineStr">
        <is>
          <t>Minimum Jump Height:</t>
        </is>
      </c>
      <c r="E549" s="34" t="inlineStr">
        <is>
          <t>No Jump Needed</t>
        </is>
      </c>
      <c r="F549" s="34" t="n"/>
      <c r="G549" s="34" t="n"/>
      <c r="H549" s="34" t="n"/>
      <c r="I549" s="34" t="n"/>
      <c r="J549" s="16" t="n"/>
    </row>
    <row r="550">
      <c r="B550" s="42" t="n"/>
      <c r="D550" s="12" t="inlineStr">
        <is>
          <t>Cap Throws that work:</t>
        </is>
      </c>
      <c r="E550" s="34" t="inlineStr">
        <is>
          <t>No Cap Throw Needed</t>
        </is>
      </c>
      <c r="F550" s="34" t="n"/>
      <c r="G550" s="34" t="n"/>
      <c r="H550" s="34" t="n"/>
      <c r="I550" s="34" t="n"/>
      <c r="J550" s="16" t="n"/>
    </row>
    <row r="551">
      <c r="A551" s="43" t="n"/>
      <c r="B551" s="44" t="n"/>
      <c r="C551" s="43" t="n"/>
      <c r="D551" s="19" t="inlineStr">
        <is>
          <t>Other Required:</t>
        </is>
      </c>
      <c r="E551" s="35" t="inlineStr">
        <is>
          <t>None</t>
        </is>
      </c>
      <c r="F551" s="35" t="n"/>
      <c r="G551" s="35" t="n"/>
      <c r="H551" s="35" t="n"/>
      <c r="I551" s="35" t="n"/>
      <c r="J551" s="16" t="n"/>
    </row>
    <row r="552">
      <c r="A552" s="41" t="b">
        <v>1</v>
      </c>
      <c r="B552" s="31" t="inlineStr">
        <is>
          <t>Sky Garden Tower: Nut Planted in the Tower</t>
        </is>
      </c>
      <c r="C552" s="35" t="inlineStr">
        <is>
          <t>Uproot</t>
        </is>
      </c>
      <c r="D552" s="12" t="inlineStr">
        <is>
          <t>Minimum Jump Height:</t>
        </is>
      </c>
      <c r="E552" s="34" t="inlineStr">
        <is>
          <t>Single Jump (258)</t>
        </is>
      </c>
      <c r="F552" s="34" t="inlineStr">
        <is>
          <t>No Jump Needed</t>
        </is>
      </c>
      <c r="G552" s="34" t="n"/>
      <c r="H552" s="34" t="n"/>
      <c r="I552" s="34" t="n"/>
      <c r="J552" s="16" t="n"/>
    </row>
    <row r="553">
      <c r="B553" s="42" t="n"/>
      <c r="D553" s="12" t="inlineStr">
        <is>
          <t>Cap Throws that work:</t>
        </is>
      </c>
      <c r="E553" s="34" t="inlineStr">
        <is>
          <t>No Cap Throw Needed</t>
        </is>
      </c>
      <c r="F553" s="34" t="inlineStr">
        <is>
          <t>Neutral Throw, Up Throw, Down Throw, Spin Throw</t>
        </is>
      </c>
      <c r="G553" s="34" t="n"/>
      <c r="H553" s="34" t="n"/>
      <c r="I553" s="34" t="n"/>
      <c r="J553" s="16" t="n"/>
    </row>
    <row r="554">
      <c r="A554" s="43" t="n"/>
      <c r="B554" s="44" t="n"/>
      <c r="C554" s="43" t="n"/>
      <c r="D554" s="19" t="inlineStr">
        <is>
          <t>Other Required:</t>
        </is>
      </c>
      <c r="E554" s="35" t="inlineStr">
        <is>
          <t>Wall Slide</t>
        </is>
      </c>
      <c r="F554" s="35" t="inlineStr">
        <is>
          <t>Capture</t>
        </is>
      </c>
      <c r="G554" s="35" t="n"/>
      <c r="H554" s="35" t="n"/>
      <c r="I554" s="35" t="n"/>
      <c r="J554" s="16" t="n"/>
    </row>
    <row r="555">
      <c r="A555" s="41" t="b">
        <v>1</v>
      </c>
      <c r="B555" s="31" t="inlineStr">
        <is>
          <t>Sky Garden Tower: Stretching Your Legs</t>
        </is>
      </c>
      <c r="C555" s="35" t="inlineStr">
        <is>
          <t>Uproot</t>
        </is>
      </c>
      <c r="D555" s="12" t="inlineStr">
        <is>
          <t>Minimum Jump Height:</t>
        </is>
      </c>
      <c r="E555" s="34" t="inlineStr">
        <is>
          <t>No Jump Needed</t>
        </is>
      </c>
      <c r="F555" s="34" t="n"/>
      <c r="G555" s="34" t="n"/>
      <c r="H555" s="34" t="n"/>
      <c r="I555" s="34" t="n"/>
      <c r="J555" s="16" t="n"/>
    </row>
    <row r="556">
      <c r="B556" s="42" t="n"/>
      <c r="D556" s="12" t="inlineStr">
        <is>
          <t>Cap Throws that work:</t>
        </is>
      </c>
      <c r="E556" s="34" t="inlineStr">
        <is>
          <t>Neutral Throw, Up Throw, Down Throw, Spin Throw</t>
        </is>
      </c>
      <c r="F556" s="34" t="n"/>
      <c r="G556" s="34" t="n"/>
      <c r="H556" s="34" t="n"/>
      <c r="I556" s="34" t="n"/>
      <c r="J556" s="16" t="n"/>
    </row>
    <row r="557">
      <c r="A557" s="43" t="n"/>
      <c r="B557" s="44" t="n"/>
      <c r="C557" s="43" t="n"/>
      <c r="D557" s="19" t="inlineStr">
        <is>
          <t>Other Required:</t>
        </is>
      </c>
      <c r="E557" s="35" t="inlineStr">
        <is>
          <t>Capture</t>
        </is>
      </c>
      <c r="F557" s="35" t="n"/>
      <c r="G557" s="35" t="n"/>
      <c r="H557" s="35" t="n"/>
      <c r="I557" s="35" t="n"/>
      <c r="J557" s="16" t="n"/>
    </row>
    <row r="558">
      <c r="A558" s="41" t="b">
        <v>1</v>
      </c>
      <c r="B558" s="31" t="inlineStr">
        <is>
          <t>Spinning-Platforms Treasure Vault: Spinning-Platforms Treasure</t>
        </is>
      </c>
      <c r="C558" s="35" t="n"/>
      <c r="D558" s="12" t="inlineStr">
        <is>
          <t>Minimum Jump Height:</t>
        </is>
      </c>
      <c r="E558" s="34" t="inlineStr">
        <is>
          <t>Long Jump</t>
        </is>
      </c>
      <c r="F558" s="34" t="n"/>
      <c r="G558" s="34" t="n"/>
      <c r="H558" s="34" t="n"/>
      <c r="I558" s="34" t="n"/>
      <c r="J558" s="16" t="n"/>
    </row>
    <row r="559">
      <c r="B559" s="42" t="n"/>
      <c r="D559" s="12" t="inlineStr">
        <is>
          <t>Cap Throws that work:</t>
        </is>
      </c>
      <c r="E559" s="34" t="inlineStr">
        <is>
          <t>Neutral Throw, Up Throw, Down Throw, Spin Throw</t>
        </is>
      </c>
      <c r="F559" s="34" t="n"/>
      <c r="G559" s="34" t="n"/>
      <c r="H559" s="34" t="n"/>
      <c r="I559" s="34" t="n"/>
      <c r="J559" s="16" t="n"/>
    </row>
    <row r="560">
      <c r="A560" s="43" t="n"/>
      <c r="B560" s="44" t="n"/>
      <c r="C560" s="43" t="n"/>
      <c r="D560" s="19" t="inlineStr">
        <is>
          <t>Other Required:</t>
        </is>
      </c>
      <c r="E560" s="35" t="inlineStr">
        <is>
          <t>None</t>
        </is>
      </c>
      <c r="F560" s="35" t="n"/>
      <c r="G560" s="35" t="n"/>
      <c r="H560" s="35" t="n"/>
      <c r="I560" s="35" t="n"/>
      <c r="J560" s="16" t="n"/>
    </row>
    <row r="561">
      <c r="A561" s="41" t="b">
        <v>1</v>
      </c>
      <c r="B561" s="31" t="inlineStr">
        <is>
          <t>Secret Flower Field: Make the Secret Flower Field Bloom</t>
        </is>
      </c>
      <c r="C561" s="35" t="n"/>
      <c r="D561" s="12" t="inlineStr">
        <is>
          <t>Minimum Jump Height:</t>
        </is>
      </c>
      <c r="E561" s="34" t="inlineStr">
        <is>
          <t>Long Jump</t>
        </is>
      </c>
      <c r="F561" s="34" t="n"/>
      <c r="G561" s="34" t="n"/>
      <c r="H561" s="34" t="n"/>
      <c r="I561" s="34" t="n"/>
      <c r="J561" s="16" t="n"/>
    </row>
    <row r="562">
      <c r="B562" s="42" t="n"/>
      <c r="D562" s="12" t="inlineStr">
        <is>
          <t>Cap Throws that work:</t>
        </is>
      </c>
      <c r="E562" s="34" t="inlineStr">
        <is>
          <t>Neutral Throw, Up Throw, Down Throw, Spin Throw</t>
        </is>
      </c>
      <c r="F562" s="34" t="n"/>
      <c r="G562" s="34" t="n"/>
      <c r="H562" s="34" t="n"/>
      <c r="I562" s="34" t="n"/>
      <c r="J562" s="16" t="n"/>
    </row>
    <row r="563">
      <c r="A563" s="43" t="n"/>
      <c r="B563" s="44" t="n"/>
      <c r="C563" s="43" t="n"/>
      <c r="D563" s="19" t="inlineStr">
        <is>
          <t>Other Required:</t>
        </is>
      </c>
      <c r="E563" s="35" t="inlineStr">
        <is>
          <t>None</t>
        </is>
      </c>
      <c r="F563" s="35" t="n"/>
      <c r="G563" s="35" t="n"/>
      <c r="H563" s="35" t="n"/>
      <c r="I563" s="35" t="n"/>
      <c r="J563" s="16" t="n"/>
    </row>
    <row r="564">
      <c r="A564" s="41" t="b">
        <v>1</v>
      </c>
      <c r="B564" s="31" t="inlineStr">
        <is>
          <t>Deep Woods: Rolling Rock in the Deep Woods</t>
        </is>
      </c>
      <c r="C564" s="35" t="n"/>
      <c r="D564" s="12" t="inlineStr">
        <is>
          <t>Minimum Jump Height:</t>
        </is>
      </c>
      <c r="E564" s="34" t="inlineStr">
        <is>
          <t>Long Jump</t>
        </is>
      </c>
      <c r="F564" s="34" t="n"/>
      <c r="G564" s="34" t="n"/>
      <c r="H564" s="34" t="n"/>
      <c r="I564" s="34" t="n"/>
      <c r="J564" s="16" t="n"/>
    </row>
    <row r="565">
      <c r="B565" s="42" t="n"/>
      <c r="D565" s="12" t="inlineStr">
        <is>
          <t>Cap Throws that work:</t>
        </is>
      </c>
      <c r="E565" s="34" t="inlineStr">
        <is>
          <t>No Cap Throw Needed</t>
        </is>
      </c>
      <c r="F565" s="34" t="n"/>
      <c r="G565" s="34" t="n"/>
      <c r="H565" s="34" t="n"/>
      <c r="I565" s="34" t="n"/>
      <c r="J565" s="16" t="n"/>
    </row>
    <row r="566">
      <c r="A566" s="43" t="n"/>
      <c r="B566" s="44" t="n"/>
      <c r="C566" s="43" t="n"/>
      <c r="D566" s="19" t="inlineStr">
        <is>
          <t>Other Required:</t>
        </is>
      </c>
      <c r="E566" s="35" t="inlineStr">
        <is>
          <t>None</t>
        </is>
      </c>
      <c r="F566" s="35" t="n"/>
      <c r="G566" s="35" t="n"/>
      <c r="H566" s="35" t="n"/>
      <c r="I566" s="35" t="n"/>
      <c r="J566" s="16" t="n"/>
    </row>
    <row r="567">
      <c r="A567" s="41" t="b">
        <v>1</v>
      </c>
      <c r="B567" s="31" t="inlineStr">
        <is>
          <t>Deep Woods: Glowing in the Deep Woods</t>
        </is>
      </c>
      <c r="C567" s="35" t="n"/>
      <c r="D567" s="12" t="inlineStr">
        <is>
          <t>Minimum Jump Height:</t>
        </is>
      </c>
      <c r="E567" s="34" t="inlineStr">
        <is>
          <t>Long Jump</t>
        </is>
      </c>
      <c r="F567" s="34" t="n"/>
      <c r="G567" s="34" t="n"/>
      <c r="H567" s="34" t="n"/>
      <c r="I567" s="34" t="n"/>
      <c r="J567" s="16" t="n"/>
    </row>
    <row r="568">
      <c r="B568" s="42" t="n"/>
      <c r="D568" s="12" t="inlineStr">
        <is>
          <t>Cap Throws that work:</t>
        </is>
      </c>
      <c r="E568" s="34" t="inlineStr">
        <is>
          <t>Neutral Throw, Up Throw, Down Throw, Spin Throw</t>
        </is>
      </c>
      <c r="F568" s="34" t="n"/>
      <c r="G568" s="34" t="n"/>
      <c r="H568" s="34" t="n"/>
      <c r="I568" s="34" t="n"/>
      <c r="J568" s="16" t="n"/>
    </row>
    <row r="569">
      <c r="A569" s="43" t="n"/>
      <c r="B569" s="44" t="n"/>
      <c r="C569" s="43" t="n"/>
      <c r="D569" s="19" t="inlineStr">
        <is>
          <t>Other Required:</t>
        </is>
      </c>
      <c r="E569" s="35" t="n"/>
      <c r="F569" s="35" t="n"/>
      <c r="G569" s="35" t="n"/>
      <c r="H569" s="35" t="n"/>
      <c r="I569" s="35" t="n"/>
      <c r="J569" s="16" t="n"/>
    </row>
    <row r="570">
      <c r="A570" s="41" t="b">
        <v>1</v>
      </c>
      <c r="B570" s="31" t="inlineStr">
        <is>
          <t>Deep Woods: Past the Peculiar Pipes</t>
        </is>
      </c>
      <c r="C570" s="35" t="n"/>
      <c r="D570" s="12" t="inlineStr">
        <is>
          <t>Minimum Jump Height:</t>
        </is>
      </c>
      <c r="E570" s="34" t="inlineStr">
        <is>
          <t>Long Jump</t>
        </is>
      </c>
      <c r="F570" s="34" t="n"/>
      <c r="G570" s="34" t="n"/>
      <c r="H570" s="34" t="n"/>
      <c r="I570" s="34" t="n"/>
      <c r="J570" s="16" t="n"/>
    </row>
    <row r="571">
      <c r="B571" s="42" t="n"/>
      <c r="D571" s="12" t="inlineStr">
        <is>
          <t>Cap Throws that work:</t>
        </is>
      </c>
      <c r="E571" s="34" t="inlineStr">
        <is>
          <t>No Cap Throw Needed</t>
        </is>
      </c>
      <c r="F571" s="34" t="n"/>
      <c r="G571" s="34" t="n"/>
      <c r="H571" s="34" t="n"/>
      <c r="I571" s="34" t="n"/>
      <c r="J571" s="16" t="n"/>
    </row>
    <row r="572">
      <c r="A572" s="43" t="n"/>
      <c r="B572" s="44" t="n"/>
      <c r="C572" s="43" t="n"/>
      <c r="D572" s="19" t="inlineStr">
        <is>
          <t>Other Required:</t>
        </is>
      </c>
      <c r="E572" s="35" t="inlineStr">
        <is>
          <t>None</t>
        </is>
      </c>
      <c r="F572" s="35" t="n"/>
      <c r="G572" s="35" t="n"/>
      <c r="H572" s="35" t="n"/>
      <c r="I572" s="35" t="n"/>
      <c r="J572" s="16" t="n"/>
    </row>
    <row r="573">
      <c r="A573" s="41" t="b">
        <v>1</v>
      </c>
      <c r="B573" s="31" t="inlineStr">
        <is>
          <t>Deep Woods: By the Babbling Brook in Deep Woods</t>
        </is>
      </c>
      <c r="C573" s="35" t="inlineStr">
        <is>
          <t>Coin Coffer, T-Rex</t>
        </is>
      </c>
      <c r="D573" s="12" t="inlineStr">
        <is>
          <t>Minimum Jump Height:</t>
        </is>
      </c>
      <c r="E573" s="34" t="inlineStr">
        <is>
          <t>Single Jump (258)</t>
        </is>
      </c>
      <c r="F573" s="34" t="n"/>
      <c r="G573" s="34" t="n"/>
      <c r="H573" s="34" t="n"/>
      <c r="I573" s="34" t="n"/>
      <c r="J573" s="16" t="n"/>
    </row>
    <row r="574">
      <c r="B574" s="42" t="n"/>
      <c r="D574" s="12" t="inlineStr">
        <is>
          <t>Cap Throws that work:</t>
        </is>
      </c>
      <c r="E574" s="34" t="inlineStr">
        <is>
          <t>No Cap Throw Needed</t>
        </is>
      </c>
      <c r="F574" s="34" t="n"/>
      <c r="G574" s="34" t="n"/>
      <c r="H574" s="34" t="n"/>
      <c r="I574" s="34" t="n"/>
      <c r="J574" s="16" t="n"/>
    </row>
    <row r="575">
      <c r="A575" s="43" t="n"/>
      <c r="B575" s="44" t="n"/>
      <c r="C575" s="43" t="n"/>
      <c r="D575" s="19" t="inlineStr">
        <is>
          <t>Other Required:</t>
        </is>
      </c>
      <c r="E575" s="35" t="inlineStr">
        <is>
          <t>Ground Pound, Capture</t>
        </is>
      </c>
      <c r="F575" s="35" t="n"/>
      <c r="G575" s="35" t="n"/>
      <c r="H575" s="35" t="n"/>
      <c r="I575" s="35" t="n"/>
      <c r="J575" s="16" t="n"/>
    </row>
    <row r="576">
      <c r="A576" s="41" t="b">
        <v>1</v>
      </c>
      <c r="B576" s="31" t="inlineStr">
        <is>
          <t>Deep Woods: The Hard Rock in Deep Woods</t>
        </is>
      </c>
      <c r="C576" s="35" t="inlineStr">
        <is>
          <t>Coin Coffer, T-Rex</t>
        </is>
      </c>
      <c r="D576" s="12" t="inlineStr">
        <is>
          <t>Minimum Jump Height:</t>
        </is>
      </c>
      <c r="E576" s="34" t="inlineStr">
        <is>
          <t>Single Jump (258)</t>
        </is>
      </c>
      <c r="F576" s="34" t="n"/>
      <c r="G576" s="34" t="n"/>
      <c r="H576" s="34" t="n"/>
      <c r="I576" s="34" t="n"/>
      <c r="J576" s="16" t="n"/>
    </row>
    <row r="577">
      <c r="B577" s="42" t="n"/>
      <c r="D577" s="12" t="inlineStr">
        <is>
          <t>Cap Throws that work:</t>
        </is>
      </c>
      <c r="E577" s="34" t="inlineStr">
        <is>
          <t>No Cap Throw Needed</t>
        </is>
      </c>
      <c r="F577" s="34" t="n"/>
      <c r="G577" s="34" t="n"/>
      <c r="H577" s="34" t="n"/>
      <c r="I577" s="34" t="n"/>
      <c r="J577" s="16" t="n"/>
    </row>
    <row r="578">
      <c r="A578" s="43" t="n"/>
      <c r="B578" s="44" t="n"/>
      <c r="C578" s="43" t="n"/>
      <c r="D578" s="19" t="inlineStr">
        <is>
          <t>Other Required:</t>
        </is>
      </c>
      <c r="E578" s="35" t="inlineStr">
        <is>
          <t>Ground Pound, Capture</t>
        </is>
      </c>
      <c r="F578" s="35" t="n"/>
      <c r="G578" s="35" t="n"/>
      <c r="H578" s="35" t="n"/>
      <c r="I578" s="35" t="n"/>
      <c r="J578" s="16" t="n"/>
    </row>
    <row r="579">
      <c r="A579" s="41" t="b">
        <v>1</v>
      </c>
      <c r="B579" s="31" t="inlineStr">
        <is>
          <t>Deep Woods: A Treasure Made from Coins</t>
        </is>
      </c>
      <c r="C579" s="35" t="inlineStr">
        <is>
          <t>Coin Coffer</t>
        </is>
      </c>
      <c r="D579" s="12" t="inlineStr">
        <is>
          <t>Minimum Jump Height:</t>
        </is>
      </c>
      <c r="E579" s="34" t="inlineStr">
        <is>
          <t>Long Jump</t>
        </is>
      </c>
      <c r="F579" s="34" t="n"/>
      <c r="G579" s="34" t="n"/>
      <c r="H579" s="34" t="n"/>
      <c r="I579" s="34" t="n"/>
      <c r="J579" s="16" t="n"/>
    </row>
    <row r="580">
      <c r="B580" s="42" t="n"/>
      <c r="D580" s="12" t="inlineStr">
        <is>
          <t>Cap Throws that work:</t>
        </is>
      </c>
      <c r="E580" s="34" t="inlineStr">
        <is>
          <t>No Cap Throw Needed</t>
        </is>
      </c>
      <c r="F580" s="34" t="n"/>
      <c r="G580" s="34" t="n"/>
      <c r="H580" s="34" t="n"/>
      <c r="I580" s="34" t="n"/>
      <c r="J580" s="16" t="n"/>
    </row>
    <row r="581">
      <c r="A581" s="43" t="n"/>
      <c r="B581" s="44" t="n"/>
      <c r="C581" s="43" t="n"/>
      <c r="D581" s="19" t="inlineStr">
        <is>
          <t>Other Required:</t>
        </is>
      </c>
      <c r="E581" s="35" t="inlineStr">
        <is>
          <t>Capture</t>
        </is>
      </c>
      <c r="F581" s="35" t="n"/>
      <c r="G581" s="35" t="n"/>
      <c r="H581" s="35" t="n"/>
      <c r="I581" s="35" t="n"/>
      <c r="J581" s="16" t="n"/>
    </row>
    <row r="582">
      <c r="A582" s="41" t="b">
        <v>1</v>
      </c>
      <c r="B582" s="31" t="inlineStr">
        <is>
          <t>Deep Woods: Beneath the Roots of the Moving Tree</t>
        </is>
      </c>
      <c r="C582" s="35" t="inlineStr">
        <is>
          <t>Tree</t>
        </is>
      </c>
      <c r="D582" s="12" t="inlineStr">
        <is>
          <t>Minimum Jump Height:</t>
        </is>
      </c>
      <c r="E582" s="34" t="inlineStr">
        <is>
          <t>Single Jump (258)</t>
        </is>
      </c>
      <c r="F582" s="34" t="n"/>
      <c r="G582" s="34" t="n"/>
      <c r="H582" s="34" t="n"/>
      <c r="I582" s="34" t="n"/>
      <c r="J582" s="16" t="n"/>
    </row>
    <row r="583">
      <c r="B583" s="42" t="n"/>
      <c r="D583" s="12" t="inlineStr">
        <is>
          <t>Cap Throws that work:</t>
        </is>
      </c>
      <c r="E583" s="34" t="inlineStr">
        <is>
          <t>No Cap Throw Needed</t>
        </is>
      </c>
      <c r="F583" s="34" t="n"/>
      <c r="G583" s="34" t="n"/>
      <c r="H583" s="34" t="n"/>
      <c r="I583" s="34" t="n"/>
      <c r="J583" s="16" t="n"/>
    </row>
    <row r="584">
      <c r="A584" s="43" t="n"/>
      <c r="B584" s="44" t="n"/>
      <c r="C584" s="43" t="n"/>
      <c r="D584" s="19" t="inlineStr">
        <is>
          <t>Other Required:</t>
        </is>
      </c>
      <c r="E584" s="35" t="inlineStr">
        <is>
          <t>Capture</t>
        </is>
      </c>
      <c r="F584" s="35" t="n"/>
      <c r="G584" s="35" t="n"/>
      <c r="H584" s="35" t="n"/>
      <c r="I584" s="35" t="n"/>
      <c r="J584" s="16" t="n"/>
    </row>
    <row r="585">
      <c r="A585" s="41" t="b">
        <v>1</v>
      </c>
      <c r="B585" s="31" t="inlineStr">
        <is>
          <t>Deep Woods Treasure Vault: Deep Woods Treasure Trap</t>
        </is>
      </c>
      <c r="C585" s="35" t="n"/>
      <c r="D585" s="12" t="inlineStr">
        <is>
          <t>Minimum Jump Height:</t>
        </is>
      </c>
      <c r="E585" s="34" t="inlineStr">
        <is>
          <t>Long Jump</t>
        </is>
      </c>
      <c r="F585" s="34" t="inlineStr">
        <is>
          <t>Single Jump (258)</t>
        </is>
      </c>
      <c r="G585" s="34" t="n"/>
      <c r="H585" s="34" t="n"/>
      <c r="I585" s="34" t="n"/>
      <c r="J585" s="16" t="n"/>
    </row>
    <row r="586">
      <c r="B586" s="42" t="n"/>
      <c r="D586" s="12" t="inlineStr">
        <is>
          <t>Cap Throws that work:</t>
        </is>
      </c>
      <c r="E586" s="34" t="inlineStr">
        <is>
          <t>Neutral Throw, Up Throw, Down Throw, Spin Throw</t>
        </is>
      </c>
      <c r="F586" s="34" t="inlineStr">
        <is>
          <t>No Cap Throw Needed</t>
        </is>
      </c>
      <c r="G586" s="34" t="n"/>
      <c r="H586" s="34" t="n"/>
      <c r="I586" s="34" t="n"/>
      <c r="J586" s="16" t="n"/>
    </row>
    <row r="587">
      <c r="A587" s="43" t="n"/>
      <c r="B587" s="44" t="n"/>
      <c r="C587" s="43" t="n"/>
      <c r="D587" s="19" t="inlineStr">
        <is>
          <t>Other Required:</t>
        </is>
      </c>
      <c r="E587" s="35" t="inlineStr">
        <is>
          <t>None</t>
        </is>
      </c>
      <c r="F587" s="35" t="inlineStr">
        <is>
          <t>Ground Pound</t>
        </is>
      </c>
      <c r="G587" s="35" t="n"/>
      <c r="H587" s="35" t="n"/>
      <c r="I587" s="35" t="n"/>
      <c r="J587" s="16" t="n"/>
    </row>
    <row r="588">
      <c r="A588" s="41" t="b">
        <v>1</v>
      </c>
      <c r="B588" s="31" t="inlineStr">
        <is>
          <t>Costume Room: Exploring for Treasure</t>
        </is>
      </c>
      <c r="C588" s="35" t="n"/>
      <c r="D588" s="12" t="inlineStr">
        <is>
          <t>Minimum Jump Height:</t>
        </is>
      </c>
      <c r="E588" s="34" t="inlineStr">
        <is>
          <t>Long Jump</t>
        </is>
      </c>
      <c r="F588" s="34" t="inlineStr">
        <is>
          <t>Single Jump (258)</t>
        </is>
      </c>
      <c r="G588" s="34" t="n"/>
      <c r="H588" s="34" t="n"/>
      <c r="I588" s="34" t="n"/>
      <c r="J588" s="16" t="n"/>
    </row>
    <row r="589">
      <c r="B589" s="42" t="n"/>
      <c r="D589" s="12" t="inlineStr">
        <is>
          <t>Cap Throws that work:</t>
        </is>
      </c>
      <c r="E589" s="34" t="inlineStr">
        <is>
          <t>Neutral Throw, Up Throw, Down Throw, Spin Throw</t>
        </is>
      </c>
      <c r="F589" s="34" t="inlineStr">
        <is>
          <t>No Cap Throw Needed</t>
        </is>
      </c>
      <c r="G589" s="34" t="n"/>
      <c r="H589" s="34" t="n"/>
      <c r="I589" s="34" t="n"/>
      <c r="J589" s="16" t="n"/>
    </row>
    <row r="590">
      <c r="A590" s="43" t="n"/>
      <c r="B590" s="44" t="n"/>
      <c r="C590" s="43" t="n"/>
      <c r="D590" s="19" t="inlineStr">
        <is>
          <t>Other Required:</t>
        </is>
      </c>
      <c r="E590" s="35" t="inlineStr">
        <is>
          <t>None</t>
        </is>
      </c>
      <c r="F590" s="35" t="inlineStr">
        <is>
          <t>Ground Pound</t>
        </is>
      </c>
      <c r="G590" s="35" t="n"/>
      <c r="H590" s="35" t="n"/>
      <c r="I590" s="35" t="n"/>
      <c r="J590" s="16" t="n"/>
    </row>
    <row r="591">
      <c r="A591" s="41" t="b">
        <v>1</v>
      </c>
      <c r="B591" s="31" t="inlineStr">
        <is>
          <t>Wooded Kingdom: Wooded Kingdom Timer Challenge 1</t>
        </is>
      </c>
      <c r="C591" s="35" t="n"/>
      <c r="D591" s="12" t="inlineStr">
        <is>
          <t>Minimum Jump Height:</t>
        </is>
      </c>
      <c r="E591" s="34" t="inlineStr">
        <is>
          <t>Single Jump (258)</t>
        </is>
      </c>
      <c r="F591" s="34" t="n"/>
      <c r="G591" s="34" t="n"/>
      <c r="H591" s="34" t="n"/>
      <c r="I591" s="34" t="n"/>
      <c r="J591" s="16" t="n"/>
    </row>
    <row r="592">
      <c r="B592" s="42" t="n"/>
      <c r="D592" s="12" t="inlineStr">
        <is>
          <t>Cap Throws that work:</t>
        </is>
      </c>
      <c r="E592" s="34" t="inlineStr">
        <is>
          <t>Neutral Throw</t>
        </is>
      </c>
      <c r="F592" s="34" t="n"/>
      <c r="G592" s="34" t="n"/>
      <c r="H592" s="34" t="n"/>
      <c r="I592" s="34" t="n"/>
      <c r="J592" s="16" t="n"/>
    </row>
    <row r="593">
      <c r="A593" s="43" t="n"/>
      <c r="B593" s="44" t="n"/>
      <c r="C593" s="43" t="n"/>
      <c r="D593" s="19" t="inlineStr">
        <is>
          <t>Other Required:</t>
        </is>
      </c>
      <c r="E593" s="35" t="inlineStr">
        <is>
          <t>Climb</t>
        </is>
      </c>
      <c r="F593" s="35" t="n"/>
      <c r="G593" s="35" t="n"/>
      <c r="H593" s="35" t="n"/>
      <c r="I593" s="35" t="n"/>
      <c r="J593" s="16" t="n"/>
    </row>
    <row r="594">
      <c r="A594" s="41" t="b">
        <v>1</v>
      </c>
      <c r="B594" s="31" t="inlineStr">
        <is>
          <t>Wooded Kingdom: Wooded Kingdom Timer Challenge 2</t>
        </is>
      </c>
      <c r="C594" s="35" t="n"/>
      <c r="D594" s="12" t="inlineStr">
        <is>
          <t>Minimum Jump Height:</t>
        </is>
      </c>
      <c r="E594" s="34" t="inlineStr">
        <is>
          <t>Ground Pound Jump (514)</t>
        </is>
      </c>
      <c r="F594" s="34" t="n"/>
      <c r="G594" s="34" t="n"/>
      <c r="H594" s="34" t="n"/>
      <c r="I594" s="34" t="n"/>
      <c r="J594" s="16" t="n"/>
    </row>
    <row r="595">
      <c r="B595" s="42" t="n"/>
      <c r="D595" s="12" t="inlineStr">
        <is>
          <t>Cap Throws that work:</t>
        </is>
      </c>
      <c r="E595" s="34" t="inlineStr">
        <is>
          <t>Down Throw</t>
        </is>
      </c>
      <c r="F595" s="34" t="n"/>
      <c r="G595" s="34" t="n"/>
      <c r="H595" s="34" t="n"/>
      <c r="I595" s="34" t="n"/>
      <c r="J595" s="16" t="n"/>
    </row>
    <row r="596">
      <c r="A596" s="43" t="n"/>
      <c r="B596" s="44" t="n"/>
      <c r="C596" s="43" t="n"/>
      <c r="D596" s="19" t="inlineStr">
        <is>
          <t>Other Required:</t>
        </is>
      </c>
      <c r="E596" s="35" t="inlineStr">
        <is>
          <t>, Dive</t>
        </is>
      </c>
      <c r="F596" s="35" t="n"/>
      <c r="G596" s="35" t="n"/>
      <c r="H596" s="35" t="n"/>
      <c r="I596" s="35" t="n"/>
      <c r="J596" s="16" t="n"/>
    </row>
    <row r="597">
      <c r="A597" s="41" t="b">
        <v>1</v>
      </c>
      <c r="B597" s="31" t="inlineStr">
        <is>
          <t>Flooding Pipeway: Flooding Pipeway</t>
        </is>
      </c>
      <c r="C597" s="35" t="n"/>
      <c r="D597" s="12" t="inlineStr">
        <is>
          <t>Minimum Jump Height:</t>
        </is>
      </c>
      <c r="E597" s="34" t="inlineStr">
        <is>
          <t>Single Jump (258)</t>
        </is>
      </c>
      <c r="F597" s="34" t="n"/>
      <c r="G597" s="34" t="n"/>
      <c r="H597" s="34" t="n"/>
      <c r="I597" s="34" t="n"/>
      <c r="J597" s="16" t="inlineStr">
        <is>
          <t>IF EXIT SPAWN: Flooding Pipeway moon is spawned, other moon possible with Wall Slide</t>
        </is>
      </c>
    </row>
    <row r="598">
      <c r="B598" s="42" t="n"/>
      <c r="D598" s="12" t="inlineStr">
        <is>
          <t>Cap Throws that work:</t>
        </is>
      </c>
      <c r="E598" s="34" t="inlineStr">
        <is>
          <t>No Cap Throw Needed</t>
        </is>
      </c>
      <c r="F598" s="34" t="n"/>
      <c r="G598" s="34" t="n"/>
      <c r="H598" s="34" t="n"/>
      <c r="I598" s="34" t="n"/>
      <c r="J598" s="16" t="n"/>
    </row>
    <row r="599">
      <c r="A599" s="43" t="n"/>
      <c r="B599" s="44" t="n"/>
      <c r="C599" s="43" t="n"/>
      <c r="D599" s="19" t="inlineStr">
        <is>
          <t>Other Required:</t>
        </is>
      </c>
      <c r="E599" s="35" t="n"/>
      <c r="F599" s="35" t="n"/>
      <c r="G599" s="35" t="n"/>
      <c r="H599" s="35" t="n"/>
      <c r="I599" s="35" t="n"/>
      <c r="J599" s="16" t="n"/>
    </row>
    <row r="600">
      <c r="A600" s="41" t="b">
        <v>1</v>
      </c>
      <c r="B600" s="31" t="inlineStr">
        <is>
          <t>Flooding Pipeway: Flooding Pipeway Ceiling Secret</t>
        </is>
      </c>
      <c r="C600" s="35" t="n"/>
      <c r="D600" s="12" t="inlineStr">
        <is>
          <t>Minimum Jump Height:</t>
        </is>
      </c>
      <c r="E600" s="34" t="inlineStr">
        <is>
          <t>Single Jump (258)</t>
        </is>
      </c>
      <c r="F600" s="34" t="inlineStr">
        <is>
          <t>Cap Return Jump (400)</t>
        </is>
      </c>
      <c r="G600" s="34" t="inlineStr">
        <is>
          <t>Cap Return Jump (400)</t>
        </is>
      </c>
      <c r="H600" s="34" t="n"/>
      <c r="I600" s="34" t="n"/>
      <c r="J600" s="16" t="n"/>
    </row>
    <row r="601">
      <c r="B601" s="42" t="n"/>
      <c r="D601" s="12" t="inlineStr">
        <is>
          <t>Cap Throws that work:</t>
        </is>
      </c>
      <c r="E601" s="34" t="inlineStr">
        <is>
          <t>Neutral Throw</t>
        </is>
      </c>
      <c r="F601" s="34" t="inlineStr">
        <is>
          <t>No Cap Throw Needed</t>
        </is>
      </c>
      <c r="G601" s="34" t="inlineStr">
        <is>
          <t>Neutral Throw</t>
        </is>
      </c>
      <c r="H601" s="34" t="n"/>
      <c r="I601" s="34" t="n"/>
      <c r="J601" s="16" t="n"/>
    </row>
    <row r="602">
      <c r="A602" s="43" t="n"/>
      <c r="B602" s="44" t="n"/>
      <c r="C602" s="43" t="n"/>
      <c r="D602" s="19" t="inlineStr">
        <is>
          <t>Other Required:</t>
        </is>
      </c>
      <c r="E602" s="35" t="inlineStr">
        <is>
          <t>Wall Slide, Dive</t>
        </is>
      </c>
      <c r="F602" s="35" t="inlineStr">
        <is>
          <t>Wall Slide</t>
        </is>
      </c>
      <c r="G602" s="35" t="inlineStr">
        <is>
          <t>Dive</t>
        </is>
      </c>
      <c r="H602" s="35" t="n"/>
      <c r="I602" s="35" t="n"/>
      <c r="J602" s="16" t="n"/>
    </row>
    <row r="603">
      <c r="A603" s="41" t="b">
        <v>1</v>
      </c>
      <c r="B603" s="31" t="inlineStr">
        <is>
          <t>Shards in the Fog: Wandering in the Fog</t>
        </is>
      </c>
      <c r="C603" s="35" t="inlineStr">
        <is>
          <t>Paragoomba</t>
        </is>
      </c>
      <c r="D603" s="12" t="inlineStr">
        <is>
          <t>Minimum Jump Height:</t>
        </is>
      </c>
      <c r="E603" s="34" t="inlineStr">
        <is>
          <t>Ground Pound Jump (514)</t>
        </is>
      </c>
      <c r="F603" s="34" t="n"/>
      <c r="G603" s="34" t="n"/>
      <c r="H603" s="34" t="n"/>
      <c r="I603" s="34" t="n"/>
      <c r="J603" s="16" t="n"/>
    </row>
    <row r="604">
      <c r="B604" s="42" t="n"/>
      <c r="D604" s="12" t="inlineStr">
        <is>
          <t>Cap Throws that work:</t>
        </is>
      </c>
      <c r="E604" s="34" t="inlineStr">
        <is>
          <t>Neutral Throw</t>
        </is>
      </c>
      <c r="F604" s="34" t="n"/>
      <c r="G604" s="34" t="n"/>
      <c r="H604" s="34" t="n"/>
      <c r="I604" s="34" t="n"/>
      <c r="J604" s="16" t="n"/>
    </row>
    <row r="605">
      <c r="A605" s="43" t="n"/>
      <c r="B605" s="44" t="n"/>
      <c r="C605" s="43" t="n"/>
      <c r="D605" s="19" t="inlineStr">
        <is>
          <t>Other Required:</t>
        </is>
      </c>
      <c r="E605" s="35" t="inlineStr">
        <is>
          <t>, Capture</t>
        </is>
      </c>
      <c r="F605" s="35" t="n"/>
      <c r="G605" s="35" t="n"/>
      <c r="H605" s="35" t="n"/>
      <c r="I605" s="35" t="n"/>
      <c r="J605" s="16" t="n"/>
    </row>
    <row r="606">
      <c r="A606" s="41" t="b">
        <v>1</v>
      </c>
      <c r="B606" s="31" t="inlineStr">
        <is>
          <t>Shards in the Fog: Nut Hidden in the Fog</t>
        </is>
      </c>
      <c r="C606" s="35" t="inlineStr">
        <is>
          <t>Paragoomba</t>
        </is>
      </c>
      <c r="D606" s="12" t="inlineStr">
        <is>
          <t>Minimum Jump Height:</t>
        </is>
      </c>
      <c r="E606" s="34" t="inlineStr">
        <is>
          <t>Ground Pound Jump (514)</t>
        </is>
      </c>
      <c r="F606" s="34" t="n"/>
      <c r="G606" s="34" t="n"/>
      <c r="H606" s="34" t="n"/>
      <c r="I606" s="34" t="n"/>
      <c r="J606" s="16" t="n"/>
    </row>
    <row r="607">
      <c r="B607" s="42" t="n"/>
      <c r="D607" s="12" t="inlineStr">
        <is>
          <t>Cap Throws that work:</t>
        </is>
      </c>
      <c r="E607" s="34" t="inlineStr">
        <is>
          <t>Neutral Throw</t>
        </is>
      </c>
      <c r="F607" s="34" t="n"/>
      <c r="G607" s="34" t="n"/>
      <c r="H607" s="34" t="n"/>
      <c r="I607" s="34" t="n"/>
      <c r="J607" s="16" t="n"/>
    </row>
    <row r="608">
      <c r="A608" s="43" t="n"/>
      <c r="B608" s="44" t="n"/>
      <c r="C608" s="43" t="n"/>
      <c r="D608" s="19" t="inlineStr">
        <is>
          <t>Other Required:</t>
        </is>
      </c>
      <c r="E608" s="35" t="inlineStr">
        <is>
          <t>, Capture</t>
        </is>
      </c>
      <c r="F608" s="35" t="n"/>
      <c r="G608" s="35" t="n"/>
      <c r="H608" s="35" t="n"/>
      <c r="I608" s="35" t="n"/>
      <c r="J608" s="16" t="n"/>
    </row>
    <row r="609">
      <c r="A609" s="41" t="b">
        <v>1</v>
      </c>
      <c r="B609" s="31" t="inlineStr">
        <is>
          <t>Flower Road: Flower Road Run</t>
        </is>
      </c>
      <c r="C609" s="35" t="n"/>
      <c r="D609" s="12" t="inlineStr">
        <is>
          <t>Minimum Jump Height:</t>
        </is>
      </c>
      <c r="E609" s="34" t="inlineStr">
        <is>
          <t>Single Jump (258)</t>
        </is>
      </c>
      <c r="F609" s="34" t="n"/>
      <c r="G609" s="34" t="n"/>
      <c r="H609" s="34" t="n"/>
      <c r="I609" s="34" t="n"/>
      <c r="J609" s="16" t="inlineStr">
        <is>
          <t>IF EXIT SPAWN: Only this moon is obtainable from exit</t>
        </is>
      </c>
    </row>
    <row r="610">
      <c r="B610" s="42" t="n"/>
      <c r="D610" s="12" t="inlineStr">
        <is>
          <t>Cap Throws that work:</t>
        </is>
      </c>
      <c r="E610" s="34" t="n"/>
      <c r="F610" s="34" t="n"/>
      <c r="G610" s="34" t="n"/>
      <c r="H610" s="34" t="n"/>
      <c r="I610" s="34" t="n"/>
      <c r="J610" s="16" t="n"/>
    </row>
    <row r="611">
      <c r="A611" s="43" t="n"/>
      <c r="B611" s="44" t="n"/>
      <c r="C611" s="43" t="n"/>
      <c r="D611" s="19" t="inlineStr">
        <is>
          <t>Other Required:</t>
        </is>
      </c>
      <c r="E611" s="35" t="inlineStr">
        <is>
          <t>Wall Slide</t>
        </is>
      </c>
      <c r="F611" s="35" t="n"/>
      <c r="G611" s="35" t="n"/>
      <c r="H611" s="35" t="n"/>
      <c r="I611" s="35" t="n"/>
      <c r="J611" s="16" t="n"/>
    </row>
    <row r="612">
      <c r="A612" s="41" t="b">
        <v>1</v>
      </c>
      <c r="B612" s="31" t="inlineStr">
        <is>
          <t>Flower Road: Flower Road Reach</t>
        </is>
      </c>
      <c r="C612" s="35" t="inlineStr">
        <is>
          <t>Goomba</t>
        </is>
      </c>
      <c r="D612" s="12" t="inlineStr">
        <is>
          <t>Minimum Jump Height:</t>
        </is>
      </c>
      <c r="E612" s="34" t="inlineStr">
        <is>
          <t>Long Jump</t>
        </is>
      </c>
      <c r="F612" s="34" t="inlineStr">
        <is>
          <t>Long Jump</t>
        </is>
      </c>
      <c r="G612" s="34" t="inlineStr">
        <is>
          <t>Single Jump (258)</t>
        </is>
      </c>
      <c r="H612" s="34" t="n"/>
      <c r="I612" s="34" t="n"/>
      <c r="J612" s="16" t="n"/>
    </row>
    <row r="613">
      <c r="B613" s="42" t="n"/>
      <c r="D613" s="12" t="inlineStr">
        <is>
          <t>Cap Throws that work:</t>
        </is>
      </c>
      <c r="E613" s="34" t="inlineStr">
        <is>
          <t>Neutral Throw, Up Throw, Down Throw, Spin Throw</t>
        </is>
      </c>
      <c r="F613" s="34" t="inlineStr">
        <is>
          <t>Neutral Throw</t>
        </is>
      </c>
      <c r="G613" s="34" t="inlineStr">
        <is>
          <t>Neutral Throw</t>
        </is>
      </c>
      <c r="H613" s="34" t="n"/>
      <c r="I613" s="34" t="n"/>
      <c r="J613" s="16" t="n"/>
    </row>
    <row r="614">
      <c r="A614" s="43" t="n"/>
      <c r="B614" s="44" t="n"/>
      <c r="C614" s="43" t="n"/>
      <c r="D614" s="19" t="inlineStr">
        <is>
          <t>Other Required:</t>
        </is>
      </c>
      <c r="E614" s="35" t="inlineStr">
        <is>
          <t>Capture</t>
        </is>
      </c>
      <c r="F614" s="35" t="inlineStr">
        <is>
          <t>Dive, Wall Slide</t>
        </is>
      </c>
      <c r="G614" s="35" t="inlineStr">
        <is>
          <t>Dive</t>
        </is>
      </c>
      <c r="H614" s="35" t="n"/>
      <c r="I614" s="35" t="n"/>
      <c r="J614" s="16" t="n"/>
    </row>
    <row r="615">
      <c r="A615" s="41" t="b">
        <v>1</v>
      </c>
      <c r="B615" s="31" t="inlineStr">
        <is>
          <t>Crowded Elevator: Elevator Escalation</t>
        </is>
      </c>
      <c r="C615" s="35" t="inlineStr">
        <is>
          <t>Sherm</t>
        </is>
      </c>
      <c r="D615" s="12" t="inlineStr">
        <is>
          <t>Minimum Jump Height:</t>
        </is>
      </c>
      <c r="E615" s="34" t="n"/>
      <c r="F615" s="34" t="n"/>
      <c r="G615" s="34" t="n"/>
      <c r="H615" s="34" t="n"/>
      <c r="I615" s="34" t="n"/>
      <c r="J615" s="16" t="n"/>
    </row>
    <row r="616">
      <c r="B616" s="42" t="n"/>
      <c r="D616" s="12" t="inlineStr">
        <is>
          <t>Cap Throws that work:</t>
        </is>
      </c>
      <c r="E616" s="34" t="inlineStr">
        <is>
          <t>Neutral Throw, Up Throw, Down Throw, Spin Throw</t>
        </is>
      </c>
      <c r="F616" s="34" t="n"/>
      <c r="G616" s="34" t="n"/>
      <c r="H616" s="34" t="n"/>
      <c r="I616" s="34" t="n"/>
      <c r="J616" s="16" t="n"/>
    </row>
    <row r="617">
      <c r="A617" s="43" t="n"/>
      <c r="B617" s="44" t="n"/>
      <c r="C617" s="43" t="n"/>
      <c r="D617" s="19" t="inlineStr">
        <is>
          <t>Other Required:</t>
        </is>
      </c>
      <c r="E617" s="35" t="inlineStr">
        <is>
          <t>Capture</t>
        </is>
      </c>
      <c r="F617" s="35" t="n"/>
      <c r="G617" s="35" t="n"/>
      <c r="H617" s="35" t="n"/>
      <c r="I617" s="35" t="n"/>
      <c r="J617" s="16" t="n"/>
    </row>
    <row r="618">
      <c r="A618" s="41" t="b">
        <v>1</v>
      </c>
      <c r="B618" s="31" t="inlineStr">
        <is>
          <t>Crowded Elevator: Elevator Blind Spot</t>
        </is>
      </c>
      <c r="C618" s="35" t="inlineStr">
        <is>
          <t>Sherm</t>
        </is>
      </c>
      <c r="D618" s="12" t="inlineStr">
        <is>
          <t>Minimum Jump Height:</t>
        </is>
      </c>
      <c r="E618" s="34" t="inlineStr">
        <is>
          <t>Long Jump</t>
        </is>
      </c>
      <c r="F618" s="34" t="n"/>
      <c r="G618" s="34" t="n"/>
      <c r="H618" s="34" t="n"/>
      <c r="I618" s="34" t="n"/>
      <c r="J618" s="16" t="n"/>
    </row>
    <row r="619">
      <c r="B619" s="42" t="n"/>
      <c r="D619" s="12" t="inlineStr">
        <is>
          <t>Cap Throws that work:</t>
        </is>
      </c>
      <c r="E619" s="34" t="inlineStr">
        <is>
          <t>Neutral Throw, Up Throw, Down Throw, Spin Throw</t>
        </is>
      </c>
      <c r="F619" s="34" t="n"/>
      <c r="G619" s="34" t="n"/>
      <c r="H619" s="34" t="n"/>
      <c r="I619" s="34" t="n"/>
      <c r="J619" s="16" t="n"/>
    </row>
    <row r="620">
      <c r="A620" s="43" t="n"/>
      <c r="B620" s="44" t="n"/>
      <c r="C620" s="43" t="n"/>
      <c r="D620" s="19" t="inlineStr">
        <is>
          <t>Other Required:</t>
        </is>
      </c>
      <c r="E620" s="35" t="inlineStr">
        <is>
          <t>Capture</t>
        </is>
      </c>
      <c r="F620" s="35" t="n"/>
      <c r="G620" s="35" t="n"/>
      <c r="H620" s="35" t="n"/>
      <c r="I620" s="35" t="n"/>
      <c r="J620" s="16" t="n"/>
    </row>
    <row r="621">
      <c r="A621" s="41" t="b">
        <v>1</v>
      </c>
      <c r="B621" s="31" t="inlineStr">
        <is>
          <t>Walking on Clouds: Walking on Clouds</t>
        </is>
      </c>
      <c r="C621" s="35" t="inlineStr">
        <is>
          <t>Uproot</t>
        </is>
      </c>
      <c r="D621" s="12" t="inlineStr">
        <is>
          <t>Minimum Jump Height:</t>
        </is>
      </c>
      <c r="E621" s="34" t="inlineStr">
        <is>
          <t>No Jump Needed</t>
        </is>
      </c>
      <c r="F621" s="34" t="n"/>
      <c r="G621" s="34" t="n"/>
      <c r="H621" s="34" t="n"/>
      <c r="I621" s="34" t="n"/>
      <c r="J621" s="16" t="n"/>
    </row>
    <row r="622">
      <c r="B622" s="42" t="n"/>
      <c r="D622" s="12" t="inlineStr">
        <is>
          <t>Cap Throws that work:</t>
        </is>
      </c>
      <c r="E622" s="34" t="inlineStr">
        <is>
          <t>Neutral Throw, Up Throw, Down Throw, Spin Throw</t>
        </is>
      </c>
      <c r="F622" s="34" t="n"/>
      <c r="G622" s="34" t="n"/>
      <c r="H622" s="34" t="n"/>
      <c r="I622" s="34" t="n"/>
      <c r="J622" s="16" t="n"/>
    </row>
    <row r="623">
      <c r="A623" s="43" t="n"/>
      <c r="B623" s="44" t="n"/>
      <c r="C623" s="43" t="n"/>
      <c r="D623" s="19" t="inlineStr">
        <is>
          <t>Other Required:</t>
        </is>
      </c>
      <c r="E623" s="35" t="inlineStr">
        <is>
          <t>Capture</t>
        </is>
      </c>
      <c r="F623" s="35" t="n"/>
      <c r="G623" s="35" t="n"/>
      <c r="H623" s="35" t="n"/>
      <c r="I623" s="35" t="n"/>
      <c r="J623" s="16" t="n"/>
    </row>
    <row r="624">
      <c r="A624" s="41" t="b">
        <v>1</v>
      </c>
      <c r="B624" s="31" t="inlineStr">
        <is>
          <t>Walking on Clouds: Above the Clouds</t>
        </is>
      </c>
      <c r="C624" s="35" t="inlineStr">
        <is>
          <t>Uproot</t>
        </is>
      </c>
      <c r="D624" s="12" t="inlineStr">
        <is>
          <t>Minimum Jump Height:</t>
        </is>
      </c>
      <c r="E624" s="34" t="inlineStr">
        <is>
          <t>No Jump Needed</t>
        </is>
      </c>
      <c r="F624" s="34" t="n"/>
      <c r="G624" s="34" t="n"/>
      <c r="H624" s="34" t="n"/>
      <c r="I624" s="34" t="n"/>
      <c r="J624" s="16" t="n"/>
    </row>
    <row r="625">
      <c r="B625" s="42" t="n"/>
      <c r="D625" s="12" t="inlineStr">
        <is>
          <t>Cap Throws that work:</t>
        </is>
      </c>
      <c r="E625" s="34" t="inlineStr">
        <is>
          <t>Neutral Throw, Up Throw, Down Throw, Spin Throw</t>
        </is>
      </c>
      <c r="F625" s="34" t="n"/>
      <c r="G625" s="34" t="n"/>
      <c r="H625" s="34" t="n"/>
      <c r="I625" s="34" t="n"/>
      <c r="J625" s="16" t="n"/>
    </row>
    <row r="626">
      <c r="A626" s="43" t="n"/>
      <c r="B626" s="44" t="n"/>
      <c r="C626" s="43" t="n"/>
      <c r="D626" s="19" t="inlineStr">
        <is>
          <t>Other Required:</t>
        </is>
      </c>
      <c r="E626" s="35" t="inlineStr">
        <is>
          <t>Capture</t>
        </is>
      </c>
      <c r="F626" s="35" t="n"/>
      <c r="G626" s="35" t="n"/>
      <c r="H626" s="35" t="n"/>
      <c r="I626" s="35" t="n"/>
      <c r="J626" s="16" t="n"/>
    </row>
    <row r="627">
      <c r="A627" s="41" t="b">
        <v>1</v>
      </c>
      <c r="B627" s="31" t="inlineStr">
        <is>
          <t>Wooded Kingdom: Secret Path to the Steam Gardens!</t>
        </is>
      </c>
      <c r="C627" s="35" t="n"/>
      <c r="D627" s="12" t="inlineStr">
        <is>
          <t>Minimum Jump Height:</t>
        </is>
      </c>
      <c r="E627" s="34" t="inlineStr">
        <is>
          <t>Single Jump (258)</t>
        </is>
      </c>
      <c r="F627" s="34" t="n"/>
      <c r="G627" s="34" t="n"/>
      <c r="H627" s="34" t="n"/>
      <c r="I627" s="34" t="n"/>
      <c r="J627" s="16" t="n"/>
    </row>
    <row r="628">
      <c r="B628" s="42" t="n"/>
      <c r="D628" s="12" t="inlineStr">
        <is>
          <t>Cap Throws that work:</t>
        </is>
      </c>
      <c r="E628" s="34" t="n"/>
      <c r="F628" s="34" t="n"/>
      <c r="G628" s="34" t="n"/>
      <c r="H628" s="34" t="n"/>
      <c r="I628" s="34" t="n"/>
      <c r="J628" s="16" t="n"/>
    </row>
    <row r="629">
      <c r="A629" s="43" t="n"/>
      <c r="B629" s="44" t="n"/>
      <c r="C629" s="43" t="n"/>
      <c r="D629" s="19" t="inlineStr">
        <is>
          <t>Other Required:</t>
        </is>
      </c>
      <c r="E629" s="35" t="n"/>
      <c r="F629" s="35" t="n"/>
      <c r="G629" s="35" t="n"/>
      <c r="H629" s="35" t="n"/>
      <c r="I629" s="35" t="n"/>
      <c r="J629" s="16" t="n"/>
    </row>
    <row r="630">
      <c r="A630" s="41" t="b">
        <v>1</v>
      </c>
      <c r="B630" s="31" t="inlineStr">
        <is>
          <t>Wooded Kingdom: Found with Wooded Kingdom Art</t>
        </is>
      </c>
      <c r="C630" s="35" t="n"/>
      <c r="D630" s="12" t="inlineStr">
        <is>
          <t>Minimum Jump Height:</t>
        </is>
      </c>
      <c r="E630" s="34" t="inlineStr">
        <is>
          <t>Single Jump (258)</t>
        </is>
      </c>
      <c r="F630" s="34" t="n"/>
      <c r="G630" s="34" t="n"/>
      <c r="H630" s="34" t="n"/>
      <c r="I630" s="34" t="n"/>
      <c r="J630" s="16" t="n"/>
    </row>
    <row r="631">
      <c r="B631" s="42" t="n"/>
      <c r="D631" s="12" t="inlineStr">
        <is>
          <t>Cap Throws that work:</t>
        </is>
      </c>
      <c r="E631" s="34" t="inlineStr">
        <is>
          <t>No Cap Throw Needed</t>
        </is>
      </c>
      <c r="F631" s="34" t="n"/>
      <c r="G631" s="34" t="n"/>
      <c r="H631" s="34" t="n"/>
      <c r="I631" s="34" t="n"/>
      <c r="J631" s="16" t="n"/>
    </row>
    <row r="632">
      <c r="A632" s="43" t="n"/>
      <c r="B632" s="44" t="n"/>
      <c r="C632" s="43" t="n"/>
      <c r="D632" s="19" t="inlineStr">
        <is>
          <t>Other Required:</t>
        </is>
      </c>
      <c r="E632" s="35" t="inlineStr">
        <is>
          <t>Ground Pound</t>
        </is>
      </c>
      <c r="F632" s="35" t="n"/>
      <c r="G632" s="35" t="n"/>
      <c r="H632" s="35" t="n"/>
      <c r="I632" s="35" t="n"/>
      <c r="J632" s="16" t="n"/>
    </row>
    <row r="633">
      <c r="A633" s="41" t="b">
        <v>1</v>
      </c>
      <c r="B633" s="31" t="inlineStr">
        <is>
          <t>Wooded Kingdom: Swing Around Secret Flower Field</t>
        </is>
      </c>
      <c r="C633" s="35" t="n"/>
      <c r="D633" s="12" t="inlineStr">
        <is>
          <t>Minimum Jump Height:</t>
        </is>
      </c>
      <c r="E633" s="34" t="inlineStr">
        <is>
          <t>Cap Return Jump (400)</t>
        </is>
      </c>
      <c r="F633" s="34" t="n"/>
      <c r="G633" s="34" t="n"/>
      <c r="H633" s="34" t="n"/>
      <c r="I633" s="34" t="n"/>
      <c r="J633" s="16" t="n"/>
    </row>
    <row r="634">
      <c r="B634" s="42" t="n"/>
      <c r="D634" s="12" t="inlineStr">
        <is>
          <t>Cap Throws that work:</t>
        </is>
      </c>
      <c r="E634" s="34" t="inlineStr">
        <is>
          <t>No Cap Throw Needed</t>
        </is>
      </c>
      <c r="F634" s="34" t="n"/>
      <c r="G634" s="34" t="n"/>
      <c r="H634" s="34" t="n"/>
      <c r="I634" s="34" t="n"/>
      <c r="J634" s="16" t="n"/>
    </row>
    <row r="635">
      <c r="A635" s="43" t="n"/>
      <c r="B635" s="44" t="n"/>
      <c r="C635" s="43" t="n"/>
      <c r="D635" s="19" t="inlineStr">
        <is>
          <t>Other Required:</t>
        </is>
      </c>
      <c r="E635" s="35" t="inlineStr">
        <is>
          <t>Climb</t>
        </is>
      </c>
      <c r="F635" s="35" t="n"/>
      <c r="G635" s="35" t="n"/>
      <c r="H635" s="35" t="n"/>
      <c r="I635" s="35" t="n"/>
      <c r="J635" s="16" t="n"/>
    </row>
    <row r="636">
      <c r="A636" s="41" t="b">
        <v>1</v>
      </c>
      <c r="B636" s="31" t="inlineStr">
        <is>
          <t>Wooded Kingdom: Jammin' in the Wooded Kingdom</t>
        </is>
      </c>
      <c r="C636" s="35" t="n"/>
      <c r="D636" s="12" t="inlineStr">
        <is>
          <t>Minimum Jump Height:</t>
        </is>
      </c>
      <c r="E636" s="34" t="inlineStr">
        <is>
          <t>Single Jump (258)</t>
        </is>
      </c>
      <c r="F636" s="34" t="inlineStr">
        <is>
          <t>Single Jump (258)</t>
        </is>
      </c>
      <c r="G636" s="34" t="n"/>
      <c r="H636" s="34" t="n"/>
      <c r="I636" s="34" t="n"/>
      <c r="J636" s="16" t="n"/>
    </row>
    <row r="637">
      <c r="B637" s="42" t="n"/>
      <c r="D637" s="12" t="inlineStr">
        <is>
          <t>Cap Throws that work:</t>
        </is>
      </c>
      <c r="E637" s="34" t="inlineStr">
        <is>
          <t>No Cap Throw Needed</t>
        </is>
      </c>
      <c r="F637" s="34" t="inlineStr">
        <is>
          <t>No Cap Throw Needed</t>
        </is>
      </c>
      <c r="G637" s="34" t="n"/>
      <c r="H637" s="34" t="n"/>
      <c r="I637" s="34" t="n"/>
      <c r="J637" s="16" t="n"/>
    </row>
    <row r="638">
      <c r="A638" s="43" t="n"/>
      <c r="B638" s="44" t="n"/>
      <c r="C638" s="43" t="n"/>
      <c r="D638" s="19" t="inlineStr">
        <is>
          <t>Other Required:</t>
        </is>
      </c>
      <c r="E638" s="35" t="inlineStr">
        <is>
          <t>Climb</t>
        </is>
      </c>
      <c r="F638" s="35" t="inlineStr">
        <is>
          <t>None</t>
        </is>
      </c>
      <c r="G638" s="35" t="n"/>
      <c r="H638" s="35" t="n"/>
      <c r="I638" s="35" t="n"/>
      <c r="J638" s="16" t="n"/>
    </row>
    <row r="639">
      <c r="A639" s="41" t="b">
        <v>1</v>
      </c>
      <c r="B639" s="31" t="inlineStr">
        <is>
          <t>Wooded Kingdom: Wooded Kingdom Regular Cup</t>
        </is>
      </c>
      <c r="C639" s="35" t="inlineStr">
        <is>
          <t>Uproot</t>
        </is>
      </c>
      <c r="D639" s="12" t="inlineStr">
        <is>
          <t>Minimum Jump Height:</t>
        </is>
      </c>
      <c r="E639" s="34" t="inlineStr">
        <is>
          <t>Backflip/Vault/Side Flip (496)</t>
        </is>
      </c>
      <c r="F639" s="34" t="inlineStr">
        <is>
          <t>Backflip/Vault/Side Flip (496)</t>
        </is>
      </c>
      <c r="G639" s="34" t="n"/>
      <c r="H639" s="34" t="n"/>
      <c r="I639" s="34" t="n"/>
      <c r="J639" s="16" t="n"/>
    </row>
    <row r="640">
      <c r="B640" s="42" t="n"/>
      <c r="D640" s="12" t="inlineStr">
        <is>
          <t>Cap Throws that work:</t>
        </is>
      </c>
      <c r="E640" s="34" t="inlineStr">
        <is>
          <t>No Cap Throw Needed</t>
        </is>
      </c>
      <c r="F640" s="34" t="inlineStr">
        <is>
          <t>No Cap Throw Needed</t>
        </is>
      </c>
      <c r="G640" s="34" t="n"/>
      <c r="H640" s="34" t="n"/>
      <c r="I640" s="34" t="n"/>
      <c r="J640" s="16" t="n"/>
    </row>
    <row r="641">
      <c r="A641" s="43" t="n"/>
      <c r="B641" s="44" t="n"/>
      <c r="C641" s="43" t="n"/>
      <c r="D641" s="19" t="inlineStr">
        <is>
          <t>Other Required:</t>
        </is>
      </c>
      <c r="E641" s="35" t="inlineStr">
        <is>
          <t>, Capture</t>
        </is>
      </c>
      <c r="F641" s="35" t="inlineStr">
        <is>
          <t>Dive</t>
        </is>
      </c>
      <c r="G641" s="35" t="n"/>
      <c r="H641" s="35" t="n"/>
      <c r="I641" s="35" t="n"/>
      <c r="J641" s="16" t="n"/>
    </row>
    <row r="642">
      <c r="A642" s="41" t="b">
        <v>1</v>
      </c>
      <c r="B642" s="31" t="inlineStr">
        <is>
          <t>Wooded Kingdom: Peach in the Wooded Kingdom</t>
        </is>
      </c>
      <c r="C642" s="35" t="inlineStr">
        <is>
          <t>Sherm</t>
        </is>
      </c>
      <c r="D642" s="12" t="inlineStr">
        <is>
          <t>Minimum Jump Height:</t>
        </is>
      </c>
      <c r="E642" s="34" t="inlineStr">
        <is>
          <t>Single Jump (258)</t>
        </is>
      </c>
      <c r="F642" s="34" t="n"/>
      <c r="G642" s="34" t="n"/>
      <c r="H642" s="34" t="n"/>
      <c r="I642" s="34" t="n"/>
      <c r="J642" s="16" t="n"/>
    </row>
    <row r="643">
      <c r="B643" s="42" t="n"/>
      <c r="D643" s="12" t="inlineStr">
        <is>
          <t>Cap Throws that work:</t>
        </is>
      </c>
      <c r="E643" s="34" t="inlineStr">
        <is>
          <t>No Cap Throw Needed</t>
        </is>
      </c>
      <c r="F643" s="34" t="n"/>
      <c r="G643" s="34" t="n"/>
      <c r="H643" s="34" t="n"/>
      <c r="I643" s="34" t="n"/>
      <c r="J643" s="16" t="n"/>
    </row>
    <row r="644">
      <c r="A644" s="43" t="n"/>
      <c r="B644" s="44" t="n"/>
      <c r="C644" s="43" t="n"/>
      <c r="D644" s="19" t="inlineStr">
        <is>
          <t>Other Required:</t>
        </is>
      </c>
      <c r="E644" s="35" t="inlineStr">
        <is>
          <t>Climb, Capture, Wall Slide, Dive</t>
        </is>
      </c>
      <c r="F644" s="35" t="n"/>
      <c r="G644" s="35" t="n"/>
      <c r="H644" s="35" t="n"/>
      <c r="I644" s="35" t="n"/>
      <c r="J644" s="16" t="n"/>
    </row>
    <row r="645">
      <c r="A645" s="41" t="b">
        <v>1</v>
      </c>
      <c r="B645" s="31" t="inlineStr">
        <is>
          <t>Wooded Kingdom: High Up in the Cave</t>
        </is>
      </c>
      <c r="C645" s="35" t="n"/>
      <c r="D645" s="12" t="inlineStr">
        <is>
          <t>Minimum Jump Height:</t>
        </is>
      </c>
      <c r="E645" s="34" t="inlineStr">
        <is>
          <t>Cap Return Jump (400)</t>
        </is>
      </c>
      <c r="F645" s="34" t="n"/>
      <c r="G645" s="34" t="n"/>
      <c r="H645" s="34" t="n"/>
      <c r="I645" s="34" t="n"/>
      <c r="J645" s="16" t="n"/>
    </row>
    <row r="646">
      <c r="B646" s="42" t="n"/>
      <c r="D646" s="12" t="inlineStr">
        <is>
          <t>Cap Throws that work:</t>
        </is>
      </c>
      <c r="E646" s="34" t="inlineStr">
        <is>
          <t>No Cap Throw Needed</t>
        </is>
      </c>
      <c r="F646" s="34" t="n"/>
      <c r="G646" s="34" t="n"/>
      <c r="H646" s="34" t="n"/>
      <c r="I646" s="34" t="n"/>
      <c r="J646" s="16" t="n"/>
    </row>
    <row r="647">
      <c r="A647" s="43" t="n"/>
      <c r="B647" s="44" t="n"/>
      <c r="C647" s="43" t="n"/>
      <c r="D647" s="19" t="inlineStr">
        <is>
          <t>Other Required:</t>
        </is>
      </c>
      <c r="E647" s="35" t="inlineStr">
        <is>
          <t>Dive</t>
        </is>
      </c>
      <c r="F647" s="35" t="n"/>
      <c r="G647" s="35" t="n"/>
      <c r="H647" s="35" t="n"/>
      <c r="I647" s="35" t="n"/>
      <c r="J647" s="16" t="n"/>
    </row>
    <row r="648">
      <c r="A648" s="41" t="b">
        <v>1</v>
      </c>
      <c r="B648" s="31" t="inlineStr">
        <is>
          <t>Wooded Kingdom: Lost in the Tall Trees</t>
        </is>
      </c>
      <c r="C648" s="35" t="inlineStr">
        <is>
          <t>Sherm, Glydon</t>
        </is>
      </c>
      <c r="D648" s="12" t="inlineStr">
        <is>
          <t>Minimum Jump Height:</t>
        </is>
      </c>
      <c r="E648" s="34" t="inlineStr">
        <is>
          <t>Single Jump (258)</t>
        </is>
      </c>
      <c r="F648" s="34" t="n"/>
      <c r="G648" s="34" t="n"/>
      <c r="H648" s="34" t="n"/>
      <c r="I648" s="34" t="n"/>
      <c r="J648" s="16" t="n"/>
    </row>
    <row r="649">
      <c r="B649" s="42" t="n"/>
      <c r="D649" s="12" t="inlineStr">
        <is>
          <t>Cap Throws that work:</t>
        </is>
      </c>
      <c r="E649" s="34" t="inlineStr">
        <is>
          <t>No Cap Throw Needed</t>
        </is>
      </c>
      <c r="F649" s="34" t="n"/>
      <c r="G649" s="34" t="n"/>
      <c r="H649" s="34" t="n"/>
      <c r="I649" s="34" t="n"/>
      <c r="J649" s="16" t="n"/>
    </row>
    <row r="650">
      <c r="A650" s="43" t="n"/>
      <c r="B650" s="44" t="n"/>
      <c r="C650" s="43" t="n"/>
      <c r="D650" s="19" t="inlineStr">
        <is>
          <t>Other Required:</t>
        </is>
      </c>
      <c r="E650" s="35" t="inlineStr">
        <is>
          <t>Capture, Climb, Wall Slide, Dive</t>
        </is>
      </c>
      <c r="F650" s="35" t="n"/>
      <c r="G650" s="35" t="n"/>
      <c r="H650" s="35" t="n"/>
      <c r="I650" s="35" t="n"/>
      <c r="J650" s="16" t="n"/>
    </row>
    <row r="651">
      <c r="A651" s="41" t="b">
        <v>1</v>
      </c>
      <c r="B651" s="31" t="inlineStr">
        <is>
          <t>Wooded Kingdom: Looking Down on the Goombas</t>
        </is>
      </c>
      <c r="C651" s="35" t="inlineStr">
        <is>
          <t>Glydon, Sherm</t>
        </is>
      </c>
      <c r="D651" s="12" t="inlineStr">
        <is>
          <t>Minimum Jump Height:</t>
        </is>
      </c>
      <c r="E651" s="34" t="inlineStr">
        <is>
          <t>Single Jump (258)</t>
        </is>
      </c>
      <c r="F651" s="34" t="inlineStr">
        <is>
          <t>Long Jump</t>
        </is>
      </c>
      <c r="G651" s="34" t="n"/>
      <c r="H651" s="34" t="n"/>
      <c r="I651" s="34" t="n"/>
      <c r="J651" s="16" t="n"/>
    </row>
    <row r="652">
      <c r="B652" s="42" t="n"/>
      <c r="D652" s="12" t="inlineStr">
        <is>
          <t>Cap Throws that work:</t>
        </is>
      </c>
      <c r="E652" s="34" t="inlineStr">
        <is>
          <t>No Cap Throw Needed</t>
        </is>
      </c>
      <c r="F652" s="34" t="inlineStr">
        <is>
          <t>No Cap Throw Needed</t>
        </is>
      </c>
      <c r="G652" s="34" t="n"/>
      <c r="H652" s="34" t="n"/>
      <c r="I652" s="34" t="n"/>
      <c r="J652" s="16" t="n"/>
    </row>
    <row r="653">
      <c r="A653" s="43" t="n"/>
      <c r="B653" s="44" t="n"/>
      <c r="C653" s="43" t="n"/>
      <c r="D653" s="19" t="inlineStr">
        <is>
          <t>Other Required:</t>
        </is>
      </c>
      <c r="E653" s="35" t="inlineStr">
        <is>
          <t>Capture, Climb, Wall Slide, Dive</t>
        </is>
      </c>
      <c r="F653" s="35" t="inlineStr">
        <is>
          <t>Dive</t>
        </is>
      </c>
      <c r="G653" s="35" t="n"/>
      <c r="H653" s="35" t="n"/>
      <c r="I653" s="35" t="n"/>
      <c r="J653" s="16" t="n"/>
    </row>
    <row r="654">
      <c r="A654" s="41" t="b">
        <v>1</v>
      </c>
      <c r="B654" s="31" t="inlineStr">
        <is>
          <t>Wooded Kingdom: High Up on a Rock Wall</t>
        </is>
      </c>
      <c r="C654" s="35" t="inlineStr">
        <is>
          <t>Uproot</t>
        </is>
      </c>
      <c r="D654" s="12" t="inlineStr">
        <is>
          <t>Minimum Jump Height:</t>
        </is>
      </c>
      <c r="E654" s="34" t="inlineStr">
        <is>
          <t>Single Jump (258)</t>
        </is>
      </c>
      <c r="F654" s="34" t="inlineStr">
        <is>
          <t>Single Jump (258)</t>
        </is>
      </c>
      <c r="G654" s="34" t="n"/>
      <c r="H654" s="34" t="n"/>
      <c r="I654" s="34" t="n"/>
      <c r="J654" s="16" t="n"/>
    </row>
    <row r="655">
      <c r="B655" s="42" t="n"/>
      <c r="D655" s="12" t="inlineStr">
        <is>
          <t>Cap Throws that work:</t>
        </is>
      </c>
      <c r="E655" s="34" t="inlineStr">
        <is>
          <t>Up Throw, Down Throw, Spin Throw, Neutral Throw</t>
        </is>
      </c>
      <c r="F655" s="34" t="inlineStr">
        <is>
          <t>No Cap Throw Needed</t>
        </is>
      </c>
      <c r="G655" s="34" t="n"/>
      <c r="H655" s="34" t="n"/>
      <c r="I655" s="34" t="n"/>
      <c r="J655" s="16" t="n"/>
    </row>
    <row r="656">
      <c r="A656" s="43" t="n"/>
      <c r="B656" s="44" t="n"/>
      <c r="C656" s="43" t="n"/>
      <c r="D656" s="19" t="inlineStr">
        <is>
          <t>Other Required:</t>
        </is>
      </c>
      <c r="E656" s="35" t="inlineStr">
        <is>
          <t>None</t>
        </is>
      </c>
      <c r="F656" s="35" t="inlineStr">
        <is>
          <t>Capture</t>
        </is>
      </c>
      <c r="G656" s="35" t="n"/>
      <c r="H656" s="35" t="n"/>
      <c r="I656" s="35" t="n"/>
      <c r="J656" s="16" t="n"/>
    </row>
    <row r="657">
      <c r="A657" s="41" t="b">
        <v>1</v>
      </c>
      <c r="B657" s="31" t="inlineStr">
        <is>
          <t>Wooded Kingdom: The Nut in the Robot Storeroom</t>
        </is>
      </c>
      <c r="C657" s="35" t="inlineStr">
        <is>
          <t>Uproot</t>
        </is>
      </c>
      <c r="D657" s="12" t="inlineStr">
        <is>
          <t>Minimum Jump Height:</t>
        </is>
      </c>
      <c r="E657" s="34" t="inlineStr">
        <is>
          <t>Single Jump (258)</t>
        </is>
      </c>
      <c r="F657" s="34" t="inlineStr">
        <is>
          <t>Backflip/Vault/Side Flip (496)</t>
        </is>
      </c>
      <c r="G657" s="34" t="inlineStr">
        <is>
          <t>Single Jump (258)</t>
        </is>
      </c>
      <c r="H657" s="34" t="n"/>
      <c r="I657" s="34" t="n"/>
      <c r="J657" s="16" t="n"/>
    </row>
    <row r="658">
      <c r="B658" s="42" t="n"/>
      <c r="D658" s="12" t="inlineStr">
        <is>
          <t>Cap Throws that work:</t>
        </is>
      </c>
      <c r="E658" s="34" t="inlineStr">
        <is>
          <t>No Cap Throw Needed</t>
        </is>
      </c>
      <c r="F658" s="34" t="inlineStr">
        <is>
          <t>Up Throw</t>
        </is>
      </c>
      <c r="G658" s="34" t="inlineStr">
        <is>
          <t>Neutral Throw</t>
        </is>
      </c>
      <c r="H658" s="34" t="n"/>
      <c r="I658" s="34" t="n"/>
      <c r="J658" s="16" t="n"/>
    </row>
    <row r="659">
      <c r="A659" s="43" t="n"/>
      <c r="B659" s="44" t="n"/>
      <c r="C659" s="43" t="n"/>
      <c r="D659" s="19" t="inlineStr">
        <is>
          <t>Other Required:</t>
        </is>
      </c>
      <c r="E659" s="35" t="inlineStr">
        <is>
          <t>Capture</t>
        </is>
      </c>
      <c r="F659" s="35" t="inlineStr">
        <is>
          <t>None</t>
        </is>
      </c>
      <c r="G659" s="35" t="inlineStr">
        <is>
          <t>Climb, Dive</t>
        </is>
      </c>
      <c r="H659" s="35" t="n"/>
      <c r="I659" s="35" t="n"/>
      <c r="J659" s="16" t="n"/>
    </row>
    <row r="660">
      <c r="A660" s="41" t="b">
        <v>1</v>
      </c>
      <c r="B660" s="31" t="inlineStr">
        <is>
          <t>Wooded Kingdom: Above the Iron Mountain Path</t>
        </is>
      </c>
      <c r="C660" s="35" t="n"/>
      <c r="D660" s="12" t="inlineStr">
        <is>
          <t>Minimum Jump Height:</t>
        </is>
      </c>
      <c r="E660" s="34" t="inlineStr">
        <is>
          <t>Long Jump</t>
        </is>
      </c>
      <c r="F660" s="34" t="inlineStr">
        <is>
          <t>Single Jump (258)</t>
        </is>
      </c>
      <c r="G660" s="34" t="n"/>
      <c r="H660" s="34" t="n"/>
      <c r="I660" s="34" t="n"/>
      <c r="J660" s="16" t="n"/>
    </row>
    <row r="661">
      <c r="B661" s="42" t="n"/>
      <c r="D661" s="12" t="inlineStr">
        <is>
          <t>Cap Throws that work:</t>
        </is>
      </c>
      <c r="E661" s="34" t="inlineStr">
        <is>
          <t>No Cap Throw Needed</t>
        </is>
      </c>
      <c r="F661" s="34" t="inlineStr">
        <is>
          <t>No Cap Throw Needed</t>
        </is>
      </c>
      <c r="G661" s="34" t="n"/>
      <c r="H661" s="34" t="n"/>
      <c r="I661" s="34" t="n"/>
      <c r="J661" s="16" t="n"/>
    </row>
    <row r="662">
      <c r="A662" s="43" t="n"/>
      <c r="B662" s="44" t="n"/>
      <c r="C662" s="43" t="n"/>
      <c r="D662" s="19" t="inlineStr">
        <is>
          <t>Other Required:</t>
        </is>
      </c>
      <c r="E662" s="35" t="inlineStr">
        <is>
          <t>Dive</t>
        </is>
      </c>
      <c r="F662" s="35" t="inlineStr">
        <is>
          <t>None</t>
        </is>
      </c>
      <c r="G662" s="35" t="n"/>
      <c r="H662" s="35" t="n"/>
      <c r="I662" s="35" t="n"/>
      <c r="J662" s="16" t="n"/>
    </row>
    <row r="663">
      <c r="A663" s="41" t="b">
        <v>1</v>
      </c>
      <c r="B663" s="31" t="inlineStr">
        <is>
          <t>Wooded Kingdom: The Nut Under the Observation Deck</t>
        </is>
      </c>
      <c r="C663" s="35" t="inlineStr">
        <is>
          <t>Sherm</t>
        </is>
      </c>
      <c r="D663" s="12" t="inlineStr">
        <is>
          <t>Minimum Jump Height:</t>
        </is>
      </c>
      <c r="E663" s="34" t="inlineStr">
        <is>
          <t>Triple Jump (550)</t>
        </is>
      </c>
      <c r="F663" s="34" t="inlineStr">
        <is>
          <t>Single Jump (258)</t>
        </is>
      </c>
      <c r="G663" s="34" t="n"/>
      <c r="H663" s="34" t="n"/>
      <c r="I663" s="34" t="n"/>
      <c r="J663" s="16" t="n"/>
    </row>
    <row r="664">
      <c r="B664" s="42" t="n"/>
      <c r="D664" s="12" t="inlineStr">
        <is>
          <t>Cap Throws that work:</t>
        </is>
      </c>
      <c r="E664" s="34" t="inlineStr">
        <is>
          <t>No Cap Throw Needed</t>
        </is>
      </c>
      <c r="F664" s="34" t="inlineStr">
        <is>
          <t>Neutral Throw, Up Throw, Spin Throw</t>
        </is>
      </c>
      <c r="G664" s="34" t="n"/>
      <c r="H664" s="34" t="n"/>
      <c r="I664" s="34" t="n"/>
      <c r="J664" s="16" t="n"/>
    </row>
    <row r="665">
      <c r="A665" s="43" t="n"/>
      <c r="B665" s="44" t="n"/>
      <c r="C665" s="43" t="n"/>
      <c r="D665" s="19" t="inlineStr">
        <is>
          <t>Other Required:</t>
        </is>
      </c>
      <c r="E665" s="35" t="inlineStr">
        <is>
          <t>Wall Slide, Dive</t>
        </is>
      </c>
      <c r="F665" s="35" t="inlineStr">
        <is>
          <t>Capture, Dive, Wall Slide, Climb</t>
        </is>
      </c>
      <c r="G665" s="35" t="n"/>
      <c r="H665" s="35" t="n"/>
      <c r="I665" s="35" t="n"/>
      <c r="J665" s="16" t="n"/>
    </row>
    <row r="666">
      <c r="A666" s="41" t="b">
        <v>1</v>
      </c>
      <c r="B666" s="32" t="inlineStr">
        <is>
          <t>Wooded Kingdom: Bird Traveling the Forest</t>
        </is>
      </c>
      <c r="C666" s="35" t="n"/>
      <c r="D666" s="12" t="inlineStr">
        <is>
          <t>Minimum Jump Height:</t>
        </is>
      </c>
      <c r="E666" s="34" t="inlineStr">
        <is>
          <t>Triple Jump (550)</t>
        </is>
      </c>
      <c r="F666" s="34" t="n"/>
      <c r="G666" s="34" t="n"/>
      <c r="H666" s="34" t="n"/>
      <c r="I666" s="34" t="n"/>
      <c r="J666" s="16" t="n"/>
    </row>
    <row r="667">
      <c r="B667" s="32" t="n"/>
      <c r="D667" s="12" t="inlineStr">
        <is>
          <t>Cap Throws that work:</t>
        </is>
      </c>
      <c r="E667" s="34" t="inlineStr">
        <is>
          <t>Up Throw</t>
        </is>
      </c>
      <c r="F667" s="34" t="n"/>
      <c r="G667" s="34" t="n"/>
      <c r="H667" s="34" t="n"/>
      <c r="I667" s="34" t="n"/>
      <c r="J667" s="16" t="n"/>
    </row>
    <row r="668">
      <c r="A668" s="43" t="n"/>
      <c r="B668" s="31" t="n"/>
      <c r="C668" s="43" t="n"/>
      <c r="D668" s="19" t="inlineStr">
        <is>
          <t>Other Required:</t>
        </is>
      </c>
      <c r="E668" s="35" t="n"/>
      <c r="F668" s="35" t="n"/>
      <c r="G668" s="35" t="n"/>
      <c r="H668" s="35" t="n"/>
      <c r="I668" s="35" t="n"/>
      <c r="J668" s="16" t="n"/>
    </row>
    <row r="669">
      <c r="A669" s="41" t="b">
        <v>1</v>
      </c>
      <c r="B669" s="31" t="inlineStr">
        <is>
          <t>Wooded Kingdom: Invader in the Sky Garden</t>
        </is>
      </c>
      <c r="C669" s="35" t="inlineStr">
        <is>
          <t>Goomba, Uproot</t>
        </is>
      </c>
      <c r="D669" s="12" t="inlineStr">
        <is>
          <t>Minimum Jump Height:</t>
        </is>
      </c>
      <c r="E669" s="34" t="inlineStr">
        <is>
          <t>Single Jump (258)</t>
        </is>
      </c>
      <c r="F669" s="34" t="inlineStr">
        <is>
          <t>Ground Pound Jump (514)</t>
        </is>
      </c>
      <c r="G669" s="34" t="n"/>
      <c r="H669" s="34" t="n"/>
      <c r="I669" s="34" t="n"/>
      <c r="J669" s="16" t="n"/>
    </row>
    <row r="670">
      <c r="B670" s="42" t="n"/>
      <c r="D670" s="12" t="inlineStr">
        <is>
          <t>Cap Throws that work:</t>
        </is>
      </c>
      <c r="E670" s="34" t="inlineStr">
        <is>
          <t>No Cap Throw Needed</t>
        </is>
      </c>
      <c r="F670" s="34" t="inlineStr">
        <is>
          <t>No Cap Throw Needed</t>
        </is>
      </c>
      <c r="G670" s="34" t="n"/>
      <c r="H670" s="34" t="n"/>
      <c r="I670" s="34" t="n"/>
      <c r="J670" s="16" t="n"/>
    </row>
    <row r="671">
      <c r="A671" s="43" t="n"/>
      <c r="B671" s="44" t="n"/>
      <c r="C671" s="43" t="n"/>
      <c r="D671" s="19" t="inlineStr">
        <is>
          <t>Other Required:</t>
        </is>
      </c>
      <c r="E671" s="35" t="inlineStr">
        <is>
          <t>Capture</t>
        </is>
      </c>
      <c r="F671" s="35" t="inlineStr">
        <is>
          <t>Dive</t>
        </is>
      </c>
      <c r="G671" s="35" t="n"/>
      <c r="H671" s="35" t="n"/>
      <c r="I671" s="35" t="n"/>
      <c r="J671" s="16" t="n"/>
    </row>
    <row r="672">
      <c r="A672" s="41" t="b">
        <v>1</v>
      </c>
      <c r="B672" s="31" t="inlineStr">
        <is>
          <t>Wooded Kingdom: Hot, Hot, Hot from the Campfire</t>
        </is>
      </c>
      <c r="C672" s="35" t="inlineStr">
        <is>
          <t>Fire Bro</t>
        </is>
      </c>
      <c r="D672" s="12" t="inlineStr">
        <is>
          <t>Minimum Jump Height:</t>
        </is>
      </c>
      <c r="E672" s="34" t="inlineStr">
        <is>
          <t>Single Jump (258)</t>
        </is>
      </c>
      <c r="F672" s="34" t="n"/>
      <c r="G672" s="34" t="n"/>
      <c r="H672" s="34" t="n"/>
      <c r="I672" s="34" t="n"/>
      <c r="J672" s="16" t="n"/>
    </row>
    <row r="673">
      <c r="B673" s="42" t="n"/>
      <c r="D673" s="12" t="inlineStr">
        <is>
          <t>Cap Throws that work:</t>
        </is>
      </c>
      <c r="E673" s="34" t="inlineStr">
        <is>
          <t>No Cap Throw Needed</t>
        </is>
      </c>
      <c r="F673" s="34" t="n"/>
      <c r="G673" s="34" t="n"/>
      <c r="H673" s="34" t="n"/>
      <c r="I673" s="34" t="n"/>
      <c r="J673" s="16" t="n"/>
    </row>
    <row r="674">
      <c r="A674" s="43" t="n"/>
      <c r="B674" s="44" t="n"/>
      <c r="C674" s="43" t="n"/>
      <c r="D674" s="19" t="inlineStr">
        <is>
          <t>Other Required:</t>
        </is>
      </c>
      <c r="E674" s="35" t="inlineStr">
        <is>
          <t>Capture</t>
        </is>
      </c>
      <c r="F674" s="35" t="n"/>
      <c r="G674" s="35" t="n"/>
      <c r="H674" s="35" t="n"/>
      <c r="I674" s="35" t="n"/>
      <c r="J674" s="16" t="n"/>
    </row>
    <row r="675">
      <c r="A675" s="41" t="b">
        <v>1</v>
      </c>
      <c r="B675" s="31" t="inlineStr">
        <is>
          <t>Wooded Kingdom: Wooded Kingdom Timer Challenge 3</t>
        </is>
      </c>
      <c r="C675" s="35" t="n"/>
      <c r="D675" s="12" t="inlineStr">
        <is>
          <t>Minimum Jump Height:</t>
        </is>
      </c>
      <c r="E675" s="34" t="inlineStr">
        <is>
          <t>Single Jump (258)</t>
        </is>
      </c>
      <c r="F675" s="34" t="n"/>
      <c r="G675" s="34" t="n"/>
      <c r="H675" s="34" t="n"/>
      <c r="I675" s="34" t="n"/>
      <c r="J675" s="16" t="n"/>
    </row>
    <row r="676">
      <c r="B676" s="42" t="n"/>
      <c r="D676" s="12" t="inlineStr">
        <is>
          <t>Cap Throws that work:</t>
        </is>
      </c>
      <c r="E676" s="34" t="inlineStr">
        <is>
          <t>Neutral Throw, Up Throw, Down Throw, Spin Throw</t>
        </is>
      </c>
      <c r="F676" s="34" t="n"/>
      <c r="G676" s="34" t="n"/>
      <c r="H676" s="34" t="n"/>
      <c r="I676" s="34" t="n"/>
      <c r="J676" s="16" t="n"/>
    </row>
    <row r="677">
      <c r="A677" s="43" t="n"/>
      <c r="B677" s="44" t="n"/>
      <c r="C677" s="43" t="n"/>
      <c r="D677" s="19" t="inlineStr">
        <is>
          <t>Other Required:</t>
        </is>
      </c>
      <c r="E677" s="35" t="inlineStr">
        <is>
          <t>None</t>
        </is>
      </c>
      <c r="F677" s="35" t="n"/>
      <c r="G677" s="35" t="n"/>
      <c r="H677" s="35" t="n"/>
      <c r="I677" s="35" t="n"/>
      <c r="J677" s="16" t="n"/>
    </row>
    <row r="678">
      <c r="A678" s="41" t="b">
        <v>1</v>
      </c>
      <c r="B678" s="31" t="inlineStr">
        <is>
          <t>Wooded Kingdom: Moon Shards in the Forest</t>
        </is>
      </c>
      <c r="C678" s="35" t="inlineStr">
        <is>
          <t>Uproot</t>
        </is>
      </c>
      <c r="D678" s="12" t="inlineStr">
        <is>
          <t>Minimum Jump Height:</t>
        </is>
      </c>
      <c r="E678" s="34" t="inlineStr">
        <is>
          <t>Single Jump (258)</t>
        </is>
      </c>
      <c r="F678" s="34" t="n"/>
      <c r="G678" s="34" t="n"/>
      <c r="H678" s="34" t="n"/>
      <c r="I678" s="34" t="n"/>
      <c r="J678" s="16" t="n"/>
    </row>
    <row r="679">
      <c r="B679" s="42" t="n"/>
      <c r="D679" s="12" t="inlineStr">
        <is>
          <t>Cap Throws that work:</t>
        </is>
      </c>
      <c r="E679" s="34" t="inlineStr">
        <is>
          <t>No Cap Throw Needed</t>
        </is>
      </c>
      <c r="F679" s="34" t="n"/>
      <c r="G679" s="34" t="n"/>
      <c r="H679" s="34" t="n"/>
      <c r="I679" s="34" t="n"/>
      <c r="J679" s="16" t="n"/>
    </row>
    <row r="680">
      <c r="A680" s="43" t="n"/>
      <c r="B680" s="44" t="n"/>
      <c r="C680" s="43" t="n"/>
      <c r="D680" s="19" t="inlineStr">
        <is>
          <t>Other Required:</t>
        </is>
      </c>
      <c r="E680" s="35" t="inlineStr">
        <is>
          <t>Capture</t>
        </is>
      </c>
      <c r="F680" s="35" t="n"/>
      <c r="G680" s="35" t="n"/>
      <c r="H680" s="35" t="n"/>
      <c r="I680" s="35" t="n"/>
      <c r="J680" s="16" t="n"/>
    </row>
    <row r="681">
      <c r="A681" s="41" t="b">
        <v>1</v>
      </c>
      <c r="B681" s="31" t="inlineStr">
        <is>
          <t>Wooded Kingdom: Taking Notes: On Top of the Wall</t>
        </is>
      </c>
      <c r="C681" s="35" t="n"/>
      <c r="D681" s="12" t="inlineStr">
        <is>
          <t>Minimum Jump Height:</t>
        </is>
      </c>
      <c r="E681" s="34" t="inlineStr">
        <is>
          <t>Single Jump (258)</t>
        </is>
      </c>
      <c r="F681" s="34" t="n"/>
      <c r="G681" s="34" t="n"/>
      <c r="H681" s="34" t="n"/>
      <c r="I681" s="34" t="n"/>
      <c r="J681" s="16" t="n"/>
    </row>
    <row r="682">
      <c r="B682" s="42" t="n"/>
      <c r="D682" s="12" t="inlineStr">
        <is>
          <t>Cap Throws that work:</t>
        </is>
      </c>
      <c r="E682" s="34" t="inlineStr">
        <is>
          <t>No Cap Throw Needed</t>
        </is>
      </c>
      <c r="F682" s="34" t="n"/>
      <c r="G682" s="34" t="n"/>
      <c r="H682" s="34" t="n"/>
      <c r="I682" s="34" t="n"/>
      <c r="J682" s="16" t="n"/>
    </row>
    <row r="683">
      <c r="A683" s="43" t="n"/>
      <c r="B683" s="44" t="n"/>
      <c r="C683" s="43" t="n"/>
      <c r="D683" s="19" t="inlineStr">
        <is>
          <t>Other Required:</t>
        </is>
      </c>
      <c r="E683" s="35" t="inlineStr">
        <is>
          <t>Roll</t>
        </is>
      </c>
      <c r="F683" s="35" t="n"/>
      <c r="G683" s="35" t="n"/>
      <c r="H683" s="35" t="n"/>
      <c r="I683" s="35" t="n"/>
      <c r="J683" s="16" t="n"/>
    </row>
    <row r="684">
      <c r="A684" s="41" t="b">
        <v>1</v>
      </c>
      <c r="B684" s="31" t="inlineStr">
        <is>
          <t>Wooded Kingdom: Taking Notes: Stretching</t>
        </is>
      </c>
      <c r="C684" s="35" t="inlineStr">
        <is>
          <t>Uproot, Fire Bro</t>
        </is>
      </c>
      <c r="D684" s="12" t="inlineStr">
        <is>
          <t>Minimum Jump Height:</t>
        </is>
      </c>
      <c r="E684" s="34" t="inlineStr">
        <is>
          <t>Backflip/Vault/Side Flip (496)</t>
        </is>
      </c>
      <c r="F684" s="34" t="inlineStr">
        <is>
          <t>Triple Jump (550)</t>
        </is>
      </c>
      <c r="G684" s="34" t="n"/>
      <c r="H684" s="34" t="n"/>
      <c r="I684" s="34" t="n"/>
      <c r="J684" s="16" t="n"/>
    </row>
    <row r="685">
      <c r="B685" s="42" t="n"/>
      <c r="D685" s="12" t="inlineStr">
        <is>
          <t>Cap Throws that work:</t>
        </is>
      </c>
      <c r="E685" s="34" t="inlineStr">
        <is>
          <t>No Cap Throw Needed</t>
        </is>
      </c>
      <c r="F685" s="34" t="inlineStr">
        <is>
          <t>No Cap Throw Needed</t>
        </is>
      </c>
      <c r="G685" s="34" t="n"/>
      <c r="H685" s="34" t="n"/>
      <c r="I685" s="34" t="n"/>
      <c r="J685" s="16" t="n"/>
    </row>
    <row r="686">
      <c r="A686" s="43" t="n"/>
      <c r="B686" s="44" t="n"/>
      <c r="C686" s="43" t="n"/>
      <c r="D686" s="19" t="inlineStr">
        <is>
          <t>Other Required:</t>
        </is>
      </c>
      <c r="E686" s="35" t="inlineStr">
        <is>
          <t>Dive, Capture</t>
        </is>
      </c>
      <c r="F686" s="35" t="inlineStr">
        <is>
          <t>Capture</t>
        </is>
      </c>
      <c r="G686" s="35" t="n"/>
      <c r="H686" s="35" t="n"/>
      <c r="I686" s="35" t="n"/>
      <c r="J686" s="16" t="n"/>
    </row>
    <row r="687">
      <c r="A687" s="41" t="b">
        <v>1</v>
      </c>
      <c r="B687" s="31" t="inlineStr">
        <is>
          <t>Wooded Kingdom: Wooded Kingdom Master Cup</t>
        </is>
      </c>
      <c r="C687" s="35" t="inlineStr">
        <is>
          <t>Uproot</t>
        </is>
      </c>
      <c r="D687" s="12" t="inlineStr">
        <is>
          <t>Minimum Jump Height:</t>
        </is>
      </c>
      <c r="E687" s="34" t="inlineStr">
        <is>
          <t>Backflip/Vault/Side Flip (496)</t>
        </is>
      </c>
      <c r="F687" s="34" t="inlineStr">
        <is>
          <t>Backflip/Vault/Side Flip (496)</t>
        </is>
      </c>
      <c r="G687" s="34" t="n"/>
      <c r="H687" s="34" t="n"/>
      <c r="I687" s="34" t="n"/>
      <c r="J687" s="16" t="n"/>
    </row>
    <row r="688">
      <c r="B688" s="42" t="n"/>
      <c r="D688" s="12" t="inlineStr">
        <is>
          <t>Cap Throws that work:</t>
        </is>
      </c>
      <c r="E688" s="34" t="inlineStr">
        <is>
          <t>No Cap Throw Needed</t>
        </is>
      </c>
      <c r="F688" s="34" t="inlineStr">
        <is>
          <t>No Cap Throw Needed</t>
        </is>
      </c>
      <c r="G688" s="34" t="n"/>
      <c r="H688" s="34" t="n"/>
      <c r="I688" s="34" t="n"/>
      <c r="J688" s="16" t="n"/>
    </row>
    <row r="689">
      <c r="A689" s="43" t="n"/>
      <c r="B689" s="44" t="n"/>
      <c r="C689" s="43" t="n"/>
      <c r="D689" s="19" t="inlineStr">
        <is>
          <t>Other Required:</t>
        </is>
      </c>
      <c r="E689" s="35" t="inlineStr">
        <is>
          <t>Capture</t>
        </is>
      </c>
      <c r="F689" s="35" t="inlineStr">
        <is>
          <t>, Dive</t>
        </is>
      </c>
      <c r="G689" s="35" t="n"/>
      <c r="H689" s="35" t="n"/>
      <c r="I689" s="35" t="n"/>
      <c r="J689" s="16" t="n"/>
    </row>
    <row r="690">
      <c r="A690" s="41" t="b">
        <v>1</v>
      </c>
      <c r="B690" s="31" t="inlineStr">
        <is>
          <t>Wooded Kingdom: I Met an Uproot!</t>
        </is>
      </c>
      <c r="C690" s="35" t="inlineStr">
        <is>
          <t>Uproot</t>
        </is>
      </c>
      <c r="D690" s="12" t="inlineStr">
        <is>
          <t>Minimum Jump Height:</t>
        </is>
      </c>
      <c r="E690" s="34" t="inlineStr">
        <is>
          <t>Backflip/Vault/Side Flip (496)</t>
        </is>
      </c>
      <c r="F690" s="34" t="n"/>
      <c r="G690" s="34" t="n"/>
      <c r="H690" s="34" t="n"/>
      <c r="I690" s="34" t="n"/>
      <c r="J690" s="16" t="n"/>
    </row>
    <row r="691">
      <c r="B691" s="42" t="n"/>
      <c r="D691" s="12" t="inlineStr">
        <is>
          <t>Cap Throws that work:</t>
        </is>
      </c>
      <c r="E691" s="34" t="inlineStr">
        <is>
          <t>No Cap Throw Needed</t>
        </is>
      </c>
      <c r="F691" s="34" t="n"/>
      <c r="G691" s="34" t="n"/>
      <c r="H691" s="34" t="n"/>
      <c r="I691" s="34" t="n"/>
      <c r="J691" s="16" t="n"/>
    </row>
    <row r="692">
      <c r="A692" s="43" t="n"/>
      <c r="B692" s="44" t="n"/>
      <c r="C692" s="43" t="n"/>
      <c r="D692" s="19" t="inlineStr">
        <is>
          <t>Other Required:</t>
        </is>
      </c>
      <c r="E692" s="35" t="inlineStr">
        <is>
          <t>Capture</t>
        </is>
      </c>
      <c r="F692" s="35" t="n"/>
      <c r="G692" s="35" t="n"/>
      <c r="H692" s="35" t="n"/>
      <c r="I692" s="35" t="n"/>
      <c r="J692" s="16" t="n"/>
    </row>
    <row r="693">
      <c r="A693" s="41" t="b">
        <v>1</v>
      </c>
      <c r="B693" s="31" t="inlineStr">
        <is>
          <t>Invisible Road: Invisible Road: Danger!</t>
        </is>
      </c>
      <c r="C693" s="35" t="n"/>
      <c r="D693" s="12" t="inlineStr">
        <is>
          <t>Minimum Jump Height:</t>
        </is>
      </c>
      <c r="E693" s="34" t="inlineStr">
        <is>
          <t>Single Jump (258)</t>
        </is>
      </c>
      <c r="F693" s="34" t="inlineStr">
        <is>
          <t>Single Jump (258)</t>
        </is>
      </c>
      <c r="G693" s="34" t="n"/>
      <c r="H693" s="34" t="n"/>
      <c r="I693" s="34" t="n"/>
      <c r="J693" s="16" t="n"/>
    </row>
    <row r="694">
      <c r="B694" s="42" t="n"/>
      <c r="D694" s="12" t="inlineStr">
        <is>
          <t>Cap Throws that work:</t>
        </is>
      </c>
      <c r="E694" s="34" t="inlineStr">
        <is>
          <t>No Cap Throw Needed</t>
        </is>
      </c>
      <c r="F694" s="34" t="inlineStr">
        <is>
          <t>No Cap Throw Needed</t>
        </is>
      </c>
      <c r="G694" s="34" t="n"/>
      <c r="H694" s="34" t="n"/>
      <c r="I694" s="34" t="n"/>
      <c r="J694" s="16" t="n"/>
    </row>
    <row r="695">
      <c r="A695" s="43" t="n"/>
      <c r="B695" s="44" t="n"/>
      <c r="C695" s="43" t="n"/>
      <c r="D695" s="19" t="inlineStr">
        <is>
          <t>Other Required:</t>
        </is>
      </c>
      <c r="E695" s="35" t="n"/>
      <c r="F695" s="35" t="inlineStr">
        <is>
          <t>None</t>
        </is>
      </c>
      <c r="G695" s="35" t="n"/>
      <c r="H695" s="35" t="n"/>
      <c r="I695" s="35" t="n"/>
      <c r="J695" s="16" t="n"/>
    </row>
    <row r="696">
      <c r="A696" s="41" t="b">
        <v>1</v>
      </c>
      <c r="B696" s="31" t="inlineStr">
        <is>
          <t>Invisible Road: Invisible Road: Hidden Room</t>
        </is>
      </c>
      <c r="C696" s="35" t="n"/>
      <c r="D696" s="12" t="inlineStr">
        <is>
          <t>Minimum Jump Height:</t>
        </is>
      </c>
      <c r="E696" s="34" t="inlineStr">
        <is>
          <t>Single Jump (258)</t>
        </is>
      </c>
      <c r="F696" s="34" t="n"/>
      <c r="G696" s="34" t="n"/>
      <c r="H696" s="34" t="n"/>
      <c r="I696" s="34" t="n"/>
      <c r="J696" s="16" t="n"/>
    </row>
    <row r="697">
      <c r="B697" s="42" t="n"/>
      <c r="D697" s="12" t="inlineStr">
        <is>
          <t>Cap Throws that work:</t>
        </is>
      </c>
      <c r="E697" s="34" t="inlineStr">
        <is>
          <t>Neutral Throw, Up Throw, Down Throw, Spin Throw</t>
        </is>
      </c>
      <c r="F697" s="34" t="n"/>
      <c r="G697" s="34" t="n"/>
      <c r="H697" s="34" t="n"/>
      <c r="I697" s="34" t="n"/>
      <c r="J697" s="16" t="n"/>
    </row>
    <row r="698">
      <c r="A698" s="43" t="n"/>
      <c r="B698" s="44" t="n"/>
      <c r="C698" s="43" t="n"/>
      <c r="D698" s="19" t="inlineStr">
        <is>
          <t>Other Required:</t>
        </is>
      </c>
      <c r="E698" s="35" t="n"/>
      <c r="F698" s="35" t="n"/>
      <c r="G698" s="35" t="n"/>
      <c r="H698" s="35" t="n"/>
      <c r="I698" s="35" t="n"/>
      <c r="J698" s="16" t="n"/>
    </row>
    <row r="699">
      <c r="A699" s="41" t="b">
        <v>1</v>
      </c>
      <c r="B699" s="31" t="inlineStr">
        <is>
          <t>Herding Sheep: Herding Sheep Above the Forest Fog</t>
        </is>
      </c>
      <c r="C699" s="35" t="n"/>
      <c r="D699" s="12" t="inlineStr">
        <is>
          <t>Minimum Jump Height:</t>
        </is>
      </c>
      <c r="E699" s="34" t="inlineStr">
        <is>
          <t>Backflip/Vault/Side Flip (496)</t>
        </is>
      </c>
      <c r="F699" s="34" t="inlineStr">
        <is>
          <t>Single Jump (258)</t>
        </is>
      </c>
      <c r="G699" s="34" t="inlineStr">
        <is>
          <t>Backflip/Vault/Side Flip (496)</t>
        </is>
      </c>
      <c r="H699" s="34" t="n"/>
      <c r="I699" s="34" t="n"/>
      <c r="J699" s="16" t="n"/>
    </row>
    <row r="700">
      <c r="B700" s="42" t="n"/>
      <c r="D700" s="12" t="inlineStr">
        <is>
          <t>Cap Throws that work:</t>
        </is>
      </c>
      <c r="E700" s="34" t="inlineStr">
        <is>
          <t>Neutral Throw, Down Throw</t>
        </is>
      </c>
      <c r="F700" s="34" t="inlineStr">
        <is>
          <t>No Cap Throw Needed</t>
        </is>
      </c>
      <c r="G700" s="34" t="inlineStr">
        <is>
          <t>Neutral Throw, Down Throw</t>
        </is>
      </c>
      <c r="H700" s="34" t="n"/>
      <c r="I700" s="34" t="n"/>
      <c r="J700" s="16" t="n"/>
    </row>
    <row r="701">
      <c r="A701" s="43" t="n"/>
      <c r="B701" s="44" t="n"/>
      <c r="C701" s="43" t="n"/>
      <c r="D701" s="19" t="inlineStr">
        <is>
          <t>Other Required:</t>
        </is>
      </c>
      <c r="E701" s="35" t="inlineStr">
        <is>
          <t>Dive</t>
        </is>
      </c>
      <c r="F701" s="35" t="inlineStr">
        <is>
          <t>Ground Pound, Climb</t>
        </is>
      </c>
      <c r="G701" s="35" t="n"/>
      <c r="H701" s="35" t="n"/>
      <c r="I701" s="35" t="n"/>
      <c r="J701" s="16" t="n"/>
    </row>
    <row r="702">
      <c r="A702" s="41" t="b">
        <v>1</v>
      </c>
      <c r="B702" s="31" t="inlineStr">
        <is>
          <t>Herding Sheep: Herding Sheep on the Iron Bridge</t>
        </is>
      </c>
      <c r="C702" s="35" t="n"/>
      <c r="D702" s="12" t="inlineStr">
        <is>
          <t>Minimum Jump Height:</t>
        </is>
      </c>
      <c r="E702" s="34" t="inlineStr">
        <is>
          <t>Backflip/Vault/Side Flip (496)</t>
        </is>
      </c>
      <c r="F702" s="34" t="inlineStr">
        <is>
          <t>Single Jump (258)</t>
        </is>
      </c>
      <c r="G702" s="34" t="inlineStr">
        <is>
          <t>Backflip/Vault/Side Flip (496)</t>
        </is>
      </c>
      <c r="H702" s="34" t="n"/>
      <c r="I702" s="34" t="n"/>
      <c r="J702" s="16" t="n"/>
    </row>
    <row r="703">
      <c r="B703" s="42" t="n"/>
      <c r="D703" s="12" t="inlineStr">
        <is>
          <t>Cap Throws that work:</t>
        </is>
      </c>
      <c r="E703" s="34" t="inlineStr">
        <is>
          <t>Neutral Throw, Down Throw</t>
        </is>
      </c>
      <c r="F703" s="34" t="inlineStr">
        <is>
          <t>Neutral Throw, Down Throw</t>
        </is>
      </c>
      <c r="G703" s="34" t="inlineStr">
        <is>
          <t>Neutral Throw, Down Throw</t>
        </is>
      </c>
      <c r="H703" s="34" t="n"/>
      <c r="I703" s="34" t="n"/>
      <c r="J703" s="16" t="n"/>
    </row>
    <row r="704">
      <c r="A704" s="43" t="n"/>
      <c r="B704" s="44" t="n"/>
      <c r="C704" s="43" t="n"/>
      <c r="D704" s="19" t="inlineStr">
        <is>
          <t>Other Required:</t>
        </is>
      </c>
      <c r="E704" s="35" t="inlineStr">
        <is>
          <t>Dive</t>
        </is>
      </c>
      <c r="F704" s="35" t="inlineStr">
        <is>
          <t>Climb</t>
        </is>
      </c>
      <c r="G704" s="35" t="n"/>
      <c r="H704" s="35" t="n"/>
      <c r="I704" s="35" t="n"/>
      <c r="J704" s="16" t="n"/>
    </row>
    <row r="705">
      <c r="A705" s="41" t="b">
        <v>1</v>
      </c>
      <c r="B705" s="31" t="inlineStr">
        <is>
          <t>Breakdown Road: Down and Back Breakdown Road</t>
        </is>
      </c>
      <c r="C705" s="35" t="inlineStr">
        <is>
          <t>Bullet Bill</t>
        </is>
      </c>
      <c r="D705" s="12" t="inlineStr">
        <is>
          <t>Minimum Jump Height:</t>
        </is>
      </c>
      <c r="E705" s="34" t="inlineStr">
        <is>
          <t>Single Jump (258)</t>
        </is>
      </c>
      <c r="F705" s="34" t="inlineStr">
        <is>
          <t>Single Jump (258)</t>
        </is>
      </c>
      <c r="G705" s="34" t="n"/>
      <c r="H705" s="34" t="n"/>
      <c r="I705" s="34" t="n"/>
      <c r="J705" s="16" t="n"/>
    </row>
    <row r="706">
      <c r="B706" s="42" t="n"/>
      <c r="D706" s="12" t="inlineStr">
        <is>
          <t>Cap Throws that work:</t>
        </is>
      </c>
      <c r="E706" s="34" t="inlineStr">
        <is>
          <t>No Cap Throw Needed</t>
        </is>
      </c>
      <c r="F706" s="34" t="inlineStr">
        <is>
          <t>Neutral Throw, Down Throw, Spin Throw</t>
        </is>
      </c>
      <c r="G706" s="34" t="n"/>
      <c r="H706" s="34" t="n"/>
      <c r="I706" s="34" t="n"/>
      <c r="J706" s="16" t="n"/>
    </row>
    <row r="707">
      <c r="A707" s="43" t="n"/>
      <c r="B707" s="44" t="n"/>
      <c r="C707" s="43" t="n"/>
      <c r="D707" s="19" t="inlineStr">
        <is>
          <t>Other Required:</t>
        </is>
      </c>
      <c r="E707" s="35" t="inlineStr">
        <is>
          <t>None</t>
        </is>
      </c>
      <c r="F707" s="35" t="inlineStr">
        <is>
          <t>Capture</t>
        </is>
      </c>
      <c r="G707" s="35" t="n"/>
      <c r="H707" s="35" t="n"/>
      <c r="I707" s="35" t="n"/>
      <c r="J707" s="16" t="n"/>
    </row>
    <row r="708">
      <c r="A708" s="41" t="b">
        <v>1</v>
      </c>
      <c r="B708" s="31" t="inlineStr">
        <is>
          <t>Breakdown Road: Below Breakdown Road</t>
        </is>
      </c>
      <c r="C708" s="35" t="inlineStr">
        <is>
          <t>Banzai Bill</t>
        </is>
      </c>
      <c r="D708" s="12" t="inlineStr">
        <is>
          <t>Minimum Jump Height:</t>
        </is>
      </c>
      <c r="E708" s="34" t="inlineStr">
        <is>
          <t>Single Jump (258)</t>
        </is>
      </c>
      <c r="F708" s="34" t="n"/>
      <c r="G708" s="34" t="n"/>
      <c r="H708" s="34" t="n"/>
      <c r="I708" s="34" t="n"/>
      <c r="J708" s="16" t="n"/>
    </row>
    <row r="709">
      <c r="B709" s="42" t="n"/>
      <c r="D709" s="12" t="inlineStr">
        <is>
          <t>Cap Throws that work:</t>
        </is>
      </c>
      <c r="E709" s="34" t="inlineStr">
        <is>
          <t>No Cap Throw Needed</t>
        </is>
      </c>
      <c r="F709" s="34" t="n"/>
      <c r="G709" s="34" t="n"/>
      <c r="H709" s="34" t="n"/>
      <c r="I709" s="34" t="n"/>
      <c r="J709" s="16" t="n"/>
    </row>
    <row r="710">
      <c r="A710" s="43" t="n"/>
      <c r="B710" s="44" t="n"/>
      <c r="C710" s="43" t="n"/>
      <c r="D710" s="19" t="inlineStr">
        <is>
          <t>Other Required:</t>
        </is>
      </c>
      <c r="E710" s="35" t="inlineStr">
        <is>
          <t>Capture</t>
        </is>
      </c>
      <c r="F710" s="35" t="n"/>
      <c r="G710" s="35" t="n"/>
      <c r="H710" s="35" t="n"/>
      <c r="I710" s="35" t="n"/>
      <c r="J710" s="16" t="n"/>
    </row>
    <row r="711">
      <c r="A711" s="41" t="b">
        <v>1</v>
      </c>
      <c r="B711" s="31" t="inlineStr">
        <is>
          <t>Lake Kingdom: Broodals Over the Lake</t>
        </is>
      </c>
      <c r="C711" s="35" t="n"/>
      <c r="D711" s="12" t="inlineStr">
        <is>
          <t>Minimum Jump Height:</t>
        </is>
      </c>
      <c r="E711" s="34" t="inlineStr">
        <is>
          <t>Long Jump</t>
        </is>
      </c>
      <c r="F711" s="34" t="inlineStr">
        <is>
          <t>Single Jump (258)</t>
        </is>
      </c>
      <c r="G711" s="34" t="n"/>
      <c r="H711" s="34" t="n"/>
      <c r="I711" s="34" t="n"/>
      <c r="J711" s="16" t="n"/>
    </row>
    <row r="712">
      <c r="B712" s="42" t="n"/>
      <c r="D712" s="12" t="inlineStr">
        <is>
          <t>Cap Throws that work:</t>
        </is>
      </c>
      <c r="E712" s="34" t="inlineStr">
        <is>
          <t>Neutral Throw, Up Throw, Down Throw, Spin Throw</t>
        </is>
      </c>
      <c r="F712" s="34" t="inlineStr">
        <is>
          <t>Neutral Throw, Up Throw</t>
        </is>
      </c>
      <c r="G712" s="34" t="n"/>
      <c r="H712" s="34" t="n"/>
      <c r="I712" s="34" t="n"/>
      <c r="J712" s="16" t="n"/>
    </row>
    <row r="713">
      <c r="A713" s="43" t="n"/>
      <c r="B713" s="44" t="n"/>
      <c r="C713" s="43" t="n"/>
      <c r="D713" s="19" t="inlineStr">
        <is>
          <t>Other Required:</t>
        </is>
      </c>
      <c r="E713" s="35" t="inlineStr">
        <is>
          <t>Capture</t>
        </is>
      </c>
      <c r="F713" s="35" t="inlineStr">
        <is>
          <t>Dive</t>
        </is>
      </c>
      <c r="G713" s="35" t="n"/>
      <c r="H713" s="35" t="n"/>
      <c r="I713" s="35" t="n"/>
      <c r="J713" s="16" t="n"/>
    </row>
    <row r="714">
      <c r="A714" s="41" t="b">
        <v>1</v>
      </c>
      <c r="B714" s="31" t="inlineStr">
        <is>
          <t>Lake Kingdom: Dorrie-Back Rider</t>
        </is>
      </c>
      <c r="C714" s="35" t="n"/>
      <c r="D714" s="12" t="inlineStr">
        <is>
          <t>Minimum Jump Height:</t>
        </is>
      </c>
      <c r="E714" s="34" t="inlineStr">
        <is>
          <t>Long Jump</t>
        </is>
      </c>
      <c r="F714" s="34" t="inlineStr">
        <is>
          <t>Single Jump (258)</t>
        </is>
      </c>
      <c r="G714" s="34" t="n"/>
      <c r="H714" s="34" t="n"/>
      <c r="I714" s="34" t="n"/>
      <c r="J714" s="16" t="n"/>
    </row>
    <row r="715">
      <c r="B715" s="42" t="n"/>
      <c r="D715" s="12" t="inlineStr">
        <is>
          <t>Cap Throws that work:</t>
        </is>
      </c>
      <c r="E715" s="34" t="inlineStr">
        <is>
          <t>Neutral Throw, Up Throw, Down Throw, Spin Throw</t>
        </is>
      </c>
      <c r="F715" s="34" t="inlineStr">
        <is>
          <t>Neutral Throw, Up Throw</t>
        </is>
      </c>
      <c r="G715" s="34" t="n"/>
      <c r="H715" s="34" t="n"/>
      <c r="I715" s="34" t="n"/>
      <c r="J715" s="16" t="n"/>
    </row>
    <row r="716">
      <c r="A716" s="43" t="n"/>
      <c r="B716" s="44" t="n"/>
      <c r="C716" s="43" t="n"/>
      <c r="D716" s="19" t="inlineStr">
        <is>
          <t>Other Required:</t>
        </is>
      </c>
      <c r="E716" s="35" t="inlineStr">
        <is>
          <t>Capture</t>
        </is>
      </c>
      <c r="F716" s="35" t="inlineStr">
        <is>
          <t>Dive</t>
        </is>
      </c>
      <c r="G716" s="35" t="n"/>
      <c r="H716" s="35" t="n"/>
      <c r="I716" s="35" t="n"/>
      <c r="J716" s="16" t="n"/>
    </row>
    <row r="717">
      <c r="A717" s="41" t="b">
        <v>1</v>
      </c>
      <c r="B717" s="31" t="inlineStr">
        <is>
          <t>Lake Kingdom: Cheep Cheep Crossing</t>
        </is>
      </c>
      <c r="C717" s="35" t="n"/>
      <c r="D717" s="12" t="inlineStr">
        <is>
          <t>Minimum Jump Height:</t>
        </is>
      </c>
      <c r="E717" s="34" t="inlineStr">
        <is>
          <t>Long Jump</t>
        </is>
      </c>
      <c r="F717" s="34" t="inlineStr">
        <is>
          <t>Single Jump (258)</t>
        </is>
      </c>
      <c r="G717" s="34" t="n"/>
      <c r="H717" s="34" t="n"/>
      <c r="I717" s="34" t="n"/>
      <c r="J717" s="16" t="n"/>
    </row>
    <row r="718">
      <c r="B718" s="42" t="n"/>
      <c r="D718" s="12" t="inlineStr">
        <is>
          <t>Cap Throws that work:</t>
        </is>
      </c>
      <c r="E718" s="34" t="inlineStr">
        <is>
          <t>Neutral Throw, Up Throw, Down Throw, Spin Throw</t>
        </is>
      </c>
      <c r="F718" s="34" t="inlineStr">
        <is>
          <t>Neutral Throw, Up Throw</t>
        </is>
      </c>
      <c r="G718" s="34" t="n"/>
      <c r="H718" s="34" t="n"/>
      <c r="I718" s="34" t="n"/>
      <c r="J718" s="16" t="n"/>
    </row>
    <row r="719">
      <c r="A719" s="43" t="n"/>
      <c r="B719" s="44" t="n"/>
      <c r="C719" s="43" t="n"/>
      <c r="D719" s="19" t="inlineStr">
        <is>
          <t>Other Required:</t>
        </is>
      </c>
      <c r="E719" s="35" t="inlineStr">
        <is>
          <t>Capture</t>
        </is>
      </c>
      <c r="F719" s="35" t="inlineStr">
        <is>
          <t>Dive</t>
        </is>
      </c>
      <c r="G719" s="35" t="n"/>
      <c r="H719" s="35" t="n"/>
      <c r="I719" s="35" t="n"/>
      <c r="J719" s="16" t="n"/>
    </row>
    <row r="720">
      <c r="A720" s="41" t="b">
        <v>1</v>
      </c>
      <c r="B720" s="31" t="inlineStr">
        <is>
          <t>Lake Kingdom: End of the Hidden Passage</t>
        </is>
      </c>
      <c r="C720" s="35" t="inlineStr">
        <is>
          <t>Zipper</t>
        </is>
      </c>
      <c r="D720" s="12" t="inlineStr">
        <is>
          <t>Minimum Jump Height:</t>
        </is>
      </c>
      <c r="E720" s="34" t="inlineStr">
        <is>
          <t>Long Jump</t>
        </is>
      </c>
      <c r="F720" s="34" t="n"/>
      <c r="G720" s="34" t="n"/>
      <c r="H720" s="34" t="n"/>
      <c r="I720" s="34" t="n"/>
      <c r="J720" s="16" t="n"/>
    </row>
    <row r="721">
      <c r="B721" s="42" t="n"/>
      <c r="D721" s="12" t="inlineStr">
        <is>
          <t>Cap Throws that work:</t>
        </is>
      </c>
      <c r="E721" s="34" t="inlineStr">
        <is>
          <t>Neutral Throw, Up Throw, Down Throw, Spin Throw</t>
        </is>
      </c>
      <c r="F721" s="34" t="n"/>
      <c r="G721" s="34" t="n"/>
      <c r="H721" s="34" t="n"/>
      <c r="I721" s="34" t="n"/>
      <c r="J721" s="16" t="n"/>
    </row>
    <row r="722">
      <c r="A722" s="43" t="n"/>
      <c r="B722" s="44" t="n"/>
      <c r="C722" s="43" t="n"/>
      <c r="D722" s="19" t="inlineStr">
        <is>
          <t>Other Required:</t>
        </is>
      </c>
      <c r="E722" s="35" t="inlineStr">
        <is>
          <t>Capture</t>
        </is>
      </c>
      <c r="F722" s="35" t="n"/>
      <c r="G722" s="35" t="n"/>
      <c r="H722" s="35" t="n"/>
      <c r="I722" s="35" t="n"/>
      <c r="J722" s="16" t="n"/>
    </row>
    <row r="723">
      <c r="A723" s="41" t="b">
        <v>1</v>
      </c>
      <c r="B723" s="31" t="inlineStr">
        <is>
          <t>Lake Kingdom: What's in the Box?</t>
        </is>
      </c>
      <c r="C723" s="35" t="n"/>
      <c r="D723" s="12" t="inlineStr">
        <is>
          <t>Minimum Jump Height:</t>
        </is>
      </c>
      <c r="E723" s="34" t="inlineStr">
        <is>
          <t>Long Jump</t>
        </is>
      </c>
      <c r="F723" s="34" t="inlineStr">
        <is>
          <t>Single Jump (258)</t>
        </is>
      </c>
      <c r="G723" s="34" t="n"/>
      <c r="H723" s="34" t="n"/>
      <c r="I723" s="34" t="n"/>
      <c r="J723" s="16" t="n"/>
    </row>
    <row r="724">
      <c r="B724" s="42" t="n"/>
      <c r="D724" s="12" t="inlineStr">
        <is>
          <t>Cap Throws that work:</t>
        </is>
      </c>
      <c r="E724" s="34" t="inlineStr">
        <is>
          <t>Neutral Throw, Up Throw, Down Throw, Spin Throw</t>
        </is>
      </c>
      <c r="F724" s="34" t="inlineStr">
        <is>
          <t>Neutral Throw, Up Throw</t>
        </is>
      </c>
      <c r="G724" s="34" t="n"/>
      <c r="H724" s="34" t="n"/>
      <c r="I724" s="34" t="n"/>
      <c r="J724" s="16" t="n"/>
    </row>
    <row r="725">
      <c r="A725" s="43" t="n"/>
      <c r="B725" s="44" t="n"/>
      <c r="C725" s="43" t="n"/>
      <c r="D725" s="19" t="inlineStr">
        <is>
          <t>Other Required:</t>
        </is>
      </c>
      <c r="E725" s="35" t="inlineStr">
        <is>
          <t>Capture</t>
        </is>
      </c>
      <c r="F725" s="35" t="inlineStr">
        <is>
          <t>Dive</t>
        </is>
      </c>
      <c r="G725" s="35" t="n"/>
      <c r="H725" s="35" t="n"/>
      <c r="I725" s="35" t="n"/>
      <c r="J725" s="16" t="n"/>
    </row>
    <row r="726">
      <c r="A726" s="41" t="b">
        <v>1</v>
      </c>
      <c r="B726" s="31" t="inlineStr">
        <is>
          <t>Lake Kingdom: On the Lakeshore</t>
        </is>
      </c>
      <c r="C726" s="35" t="n"/>
      <c r="D726" s="12" t="inlineStr">
        <is>
          <t>Minimum Jump Height:</t>
        </is>
      </c>
      <c r="E726" s="34" t="inlineStr">
        <is>
          <t>No Jump Needed</t>
        </is>
      </c>
      <c r="F726" s="34" t="n"/>
      <c r="G726" s="34" t="n"/>
      <c r="H726" s="34" t="n"/>
      <c r="I726" s="34" t="n"/>
      <c r="J726" s="16" t="n"/>
    </row>
    <row r="727">
      <c r="B727" s="42" t="n"/>
      <c r="D727" s="12" t="inlineStr">
        <is>
          <t>Cap Throws that work:</t>
        </is>
      </c>
      <c r="E727" s="34" t="inlineStr">
        <is>
          <t>No Cap Throw Needed</t>
        </is>
      </c>
      <c r="F727" s="34" t="n"/>
      <c r="G727" s="34" t="n"/>
      <c r="H727" s="34" t="n"/>
      <c r="I727" s="34" t="n"/>
      <c r="J727" s="16" t="n"/>
    </row>
    <row r="728">
      <c r="A728" s="43" t="n"/>
      <c r="B728" s="44" t="n"/>
      <c r="C728" s="43" t="n"/>
      <c r="D728" s="19" t="inlineStr">
        <is>
          <t>Other Required:</t>
        </is>
      </c>
      <c r="E728" s="35" t="inlineStr">
        <is>
          <t>Ground Pound</t>
        </is>
      </c>
      <c r="F728" s="35" t="n"/>
      <c r="G728" s="35" t="n"/>
      <c r="H728" s="35" t="n"/>
      <c r="I728" s="35" t="n"/>
      <c r="J728" s="16" t="n"/>
    </row>
    <row r="729">
      <c r="A729" s="41" t="b">
        <v>1</v>
      </c>
      <c r="B729" s="31" t="inlineStr">
        <is>
          <t>Lake Kingdom: From the Broken Pillar</t>
        </is>
      </c>
      <c r="C729" s="35" t="inlineStr">
        <is>
          <t>Cheep Cheep</t>
        </is>
      </c>
      <c r="D729" s="12" t="inlineStr">
        <is>
          <t>Minimum Jump Height:</t>
        </is>
      </c>
      <c r="E729" s="34" t="inlineStr">
        <is>
          <t>Long Jump</t>
        </is>
      </c>
      <c r="F729" s="34" t="inlineStr">
        <is>
          <t>Long Jump</t>
        </is>
      </c>
      <c r="G729" s="34" t="inlineStr">
        <is>
          <t>Single Jump (258)</t>
        </is>
      </c>
      <c r="H729" s="34" t="n"/>
      <c r="I729" s="34" t="n"/>
      <c r="J729" s="16" t="n"/>
    </row>
    <row r="730">
      <c r="B730" s="42" t="n"/>
      <c r="D730" s="12" t="inlineStr">
        <is>
          <t>Cap Throws that work:</t>
        </is>
      </c>
      <c r="E730" s="34" t="inlineStr">
        <is>
          <t>Neutral Throw, Up Throw, Down Throw, Spin Throw</t>
        </is>
      </c>
      <c r="F730" s="34" t="inlineStr">
        <is>
          <t>Neutral Throw, Up Throw, Down Throw, Spin Throw</t>
        </is>
      </c>
      <c r="G730" s="34" t="inlineStr">
        <is>
          <t>Neutral Throw, Up Throw</t>
        </is>
      </c>
      <c r="H730" s="34" t="n"/>
      <c r="I730" s="34" t="n"/>
      <c r="J730" s="16" t="n"/>
    </row>
    <row r="731">
      <c r="A731" s="43" t="n"/>
      <c r="B731" s="44" t="n"/>
      <c r="C731" s="43" t="n"/>
      <c r="D731" s="19" t="inlineStr">
        <is>
          <t>Other Required:</t>
        </is>
      </c>
      <c r="E731" s="35" t="inlineStr">
        <is>
          <t>Capture</t>
        </is>
      </c>
      <c r="F731" s="35" t="inlineStr">
        <is>
          <t>Capture, Ground Pound</t>
        </is>
      </c>
      <c r="G731" s="35" t="inlineStr">
        <is>
          <t>Ground Pound, Dive</t>
        </is>
      </c>
      <c r="H731" s="35" t="n"/>
      <c r="I731" s="35" t="n"/>
      <c r="J731" s="16" t="n"/>
    </row>
    <row r="732">
      <c r="A732" s="41" t="b">
        <v>1</v>
      </c>
      <c r="B732" s="31" t="inlineStr">
        <is>
          <t>Lake Kingdom: Treasure in the Spiky Waterway</t>
        </is>
      </c>
      <c r="C732" s="35" t="n"/>
      <c r="D732" s="12" t="inlineStr">
        <is>
          <t>Minimum Jump Height:</t>
        </is>
      </c>
      <c r="E732" s="34" t="inlineStr">
        <is>
          <t>Long Jump</t>
        </is>
      </c>
      <c r="F732" s="34" t="inlineStr">
        <is>
          <t>Single Jump (258)</t>
        </is>
      </c>
      <c r="G732" s="34" t="n"/>
      <c r="H732" s="34" t="n"/>
      <c r="I732" s="34" t="n"/>
      <c r="J732" s="16" t="n"/>
    </row>
    <row r="733">
      <c r="B733" s="42" t="n"/>
      <c r="D733" s="12" t="inlineStr">
        <is>
          <t>Cap Throws that work:</t>
        </is>
      </c>
      <c r="E733" s="34" t="inlineStr">
        <is>
          <t>Neutral Throw, Up Throw, Down Throw, Spin Throw</t>
        </is>
      </c>
      <c r="F733" s="34" t="inlineStr">
        <is>
          <t>Neutral Throw, Up Throw</t>
        </is>
      </c>
      <c r="G733" s="34" t="n"/>
      <c r="H733" s="34" t="n"/>
      <c r="I733" s="34" t="n"/>
      <c r="J733" s="16" t="n"/>
    </row>
    <row r="734">
      <c r="A734" s="43" t="n"/>
      <c r="B734" s="44" t="n"/>
      <c r="C734" s="43" t="n"/>
      <c r="D734" s="19" t="inlineStr">
        <is>
          <t>Other Required:</t>
        </is>
      </c>
      <c r="E734" s="35" t="inlineStr">
        <is>
          <t>Capture</t>
        </is>
      </c>
      <c r="F734" s="35" t="inlineStr">
        <is>
          <t>Dive</t>
        </is>
      </c>
      <c r="G734" s="35" t="n"/>
      <c r="H734" s="35" t="n"/>
      <c r="I734" s="35" t="n"/>
      <c r="J734" s="16" t="n"/>
    </row>
    <row r="735">
      <c r="A735" s="41" t="b">
        <v>1</v>
      </c>
      <c r="B735" s="31" t="inlineStr">
        <is>
          <t>Lake Kingdom: Lake Gardening: Spiky Passage Seed</t>
        </is>
      </c>
      <c r="C735" s="35" t="n"/>
      <c r="D735" s="12" t="inlineStr">
        <is>
          <t>Minimum Jump Height:</t>
        </is>
      </c>
      <c r="E735" s="34" t="inlineStr">
        <is>
          <t>Long Jump</t>
        </is>
      </c>
      <c r="F735" s="34" t="inlineStr">
        <is>
          <t>Single Jump (258)</t>
        </is>
      </c>
      <c r="G735" s="34" t="n"/>
      <c r="H735" s="34" t="n"/>
      <c r="I735" s="34" t="n"/>
      <c r="J735" s="16" t="n"/>
    </row>
    <row r="736">
      <c r="B736" s="42" t="n"/>
      <c r="D736" s="12" t="inlineStr">
        <is>
          <t>Cap Throws that work:</t>
        </is>
      </c>
      <c r="E736" s="34" t="inlineStr">
        <is>
          <t>Neutral Throw, Up Throw, Down Throw, Spin Throw</t>
        </is>
      </c>
      <c r="F736" s="34" t="inlineStr">
        <is>
          <t>No Cap Throw Needed</t>
        </is>
      </c>
      <c r="G736" s="34" t="n"/>
      <c r="H736" s="34" t="n"/>
      <c r="I736" s="34" t="n"/>
      <c r="J736" s="16" t="n"/>
    </row>
    <row r="737">
      <c r="A737" s="43" t="n"/>
      <c r="B737" s="44" t="n"/>
      <c r="C737" s="43" t="n"/>
      <c r="D737" s="19" t="inlineStr">
        <is>
          <t>Other Required:</t>
        </is>
      </c>
      <c r="E737" s="35" t="inlineStr">
        <is>
          <t>None</t>
        </is>
      </c>
      <c r="F737" s="35" t="inlineStr">
        <is>
          <t>None</t>
        </is>
      </c>
      <c r="G737" s="35" t="n"/>
      <c r="H737" s="35" t="n"/>
      <c r="I737" s="35" t="n"/>
      <c r="J737" s="16" t="n"/>
    </row>
    <row r="738">
      <c r="A738" s="41" t="b">
        <v>1</v>
      </c>
      <c r="B738" s="31" t="inlineStr">
        <is>
          <t>Lake Kingdom: Lake Kingdom Timer Challenge 1</t>
        </is>
      </c>
      <c r="C738" s="35" t="n"/>
      <c r="D738" s="12" t="inlineStr">
        <is>
          <t>Minimum Jump Height:</t>
        </is>
      </c>
      <c r="E738" s="34" t="inlineStr">
        <is>
          <t>Long Jump</t>
        </is>
      </c>
      <c r="F738" s="34" t="n"/>
      <c r="G738" s="34" t="n"/>
      <c r="H738" s="34" t="n"/>
      <c r="I738" s="34" t="n"/>
      <c r="J738" s="16" t="n"/>
    </row>
    <row r="739">
      <c r="B739" s="42" t="n"/>
      <c r="D739" s="12" t="inlineStr">
        <is>
          <t>Cap Throws that work:</t>
        </is>
      </c>
      <c r="E739" s="34" t="inlineStr">
        <is>
          <t>Neutral Throw, Up Throw, Down Throw, Spin Throw</t>
        </is>
      </c>
      <c r="F739" s="34" t="n"/>
      <c r="G739" s="34" t="n"/>
      <c r="H739" s="34" t="n"/>
      <c r="I739" s="34" t="n"/>
      <c r="J739" s="16" t="n"/>
    </row>
    <row r="740">
      <c r="A740" s="43" t="n"/>
      <c r="B740" s="44" t="n"/>
      <c r="C740" s="43" t="n"/>
      <c r="D740" s="19" t="inlineStr">
        <is>
          <t>Other Required:</t>
        </is>
      </c>
      <c r="E740" s="35" t="inlineStr">
        <is>
          <t>None</t>
        </is>
      </c>
      <c r="F740" s="35" t="n"/>
      <c r="G740" s="35" t="n"/>
      <c r="H740" s="35" t="n"/>
      <c r="I740" s="35" t="n"/>
      <c r="J740" s="16" t="n"/>
    </row>
    <row r="741">
      <c r="A741" s="41" t="b">
        <v>1</v>
      </c>
      <c r="B741" s="31" t="inlineStr">
        <is>
          <t>Lake Kingdom: Lake Kingdom Timer Challenge 2</t>
        </is>
      </c>
      <c r="C741" s="35" t="n"/>
      <c r="D741" s="12" t="inlineStr">
        <is>
          <t>Minimum Jump Height:</t>
        </is>
      </c>
      <c r="E741" s="34" t="inlineStr">
        <is>
          <t>Backflip/Vault/Side Flip (496)</t>
        </is>
      </c>
      <c r="F741" s="34" t="inlineStr">
        <is>
          <t>Backflip/Vault/Side Flip (496)</t>
        </is>
      </c>
      <c r="G741" s="34" t="n"/>
      <c r="H741" s="34" t="n"/>
      <c r="I741" s="34" t="n"/>
      <c r="J741" s="16" t="n"/>
    </row>
    <row r="742">
      <c r="B742" s="42" t="n"/>
      <c r="D742" s="12" t="inlineStr">
        <is>
          <t>Cap Throws that work:</t>
        </is>
      </c>
      <c r="E742" s="34" t="inlineStr">
        <is>
          <t>Neutral Throw, Up Throw, Down Throw, Spin Throw</t>
        </is>
      </c>
      <c r="F742" s="34" t="inlineStr">
        <is>
          <t>Neutral Throw, Up Throw, Down Throw, Spin Throw</t>
        </is>
      </c>
      <c r="G742" s="34" t="n"/>
      <c r="H742" s="34" t="n"/>
      <c r="I742" s="34" t="n"/>
      <c r="J742" s="16" t="n"/>
    </row>
    <row r="743">
      <c r="A743" s="43" t="n"/>
      <c r="B743" s="44" t="n"/>
      <c r="C743" s="43" t="n"/>
      <c r="D743" s="19" t="inlineStr">
        <is>
          <t>Other Required:</t>
        </is>
      </c>
      <c r="E743" s="35" t="inlineStr">
        <is>
          <t>Dive</t>
        </is>
      </c>
      <c r="F743" s="35" t="n"/>
      <c r="G743" s="35" t="n"/>
      <c r="H743" s="35" t="n"/>
      <c r="I743" s="35" t="n"/>
      <c r="J743" s="16" t="n"/>
    </row>
    <row r="744">
      <c r="A744" s="41" t="b">
        <v>1</v>
      </c>
      <c r="B744" s="31" t="inlineStr">
        <is>
          <t>Lake Kingdom: Moon Shards in the Lake</t>
        </is>
      </c>
      <c r="C744" s="35" t="n"/>
      <c r="D744" s="12" t="inlineStr">
        <is>
          <t>Minimum Jump Height:</t>
        </is>
      </c>
      <c r="E744" s="34" t="inlineStr">
        <is>
          <t>Long Jump</t>
        </is>
      </c>
      <c r="F744" s="34" t="inlineStr">
        <is>
          <t>Single Jump (258)</t>
        </is>
      </c>
      <c r="G744" s="34" t="n"/>
      <c r="H744" s="34" t="n"/>
      <c r="I744" s="34" t="n"/>
      <c r="J744" s="16" t="n"/>
    </row>
    <row r="745">
      <c r="B745" s="42" t="n"/>
      <c r="D745" s="12" t="inlineStr">
        <is>
          <t>Cap Throws that work:</t>
        </is>
      </c>
      <c r="E745" s="34" t="inlineStr">
        <is>
          <t>Neutral Throw, Up Throw, Down Throw, Spin Throw</t>
        </is>
      </c>
      <c r="F745" s="34" t="inlineStr">
        <is>
          <t>Neutral Throw, Up Throw</t>
        </is>
      </c>
      <c r="G745" s="34" t="n"/>
      <c r="H745" s="34" t="n"/>
      <c r="I745" s="34" t="n"/>
      <c r="J745" s="16" t="n"/>
    </row>
    <row r="746">
      <c r="A746" s="43" t="n"/>
      <c r="B746" s="44" t="n"/>
      <c r="C746" s="43" t="n"/>
      <c r="D746" s="19" t="inlineStr">
        <is>
          <t>Other Required:</t>
        </is>
      </c>
      <c r="E746" s="35" t="inlineStr">
        <is>
          <t>Capture</t>
        </is>
      </c>
      <c r="F746" s="35" t="inlineStr">
        <is>
          <t>Dive</t>
        </is>
      </c>
      <c r="G746" s="35" t="n"/>
      <c r="H746" s="35" t="n"/>
      <c r="I746" s="35" t="n"/>
      <c r="J746" s="16" t="n"/>
    </row>
    <row r="747">
      <c r="A747" s="41" t="b">
        <v>1</v>
      </c>
      <c r="B747" s="31" t="inlineStr">
        <is>
          <t>Lake Kingdom: Taking Notes: Dive and Swim</t>
        </is>
      </c>
      <c r="C747" s="35" t="n"/>
      <c r="D747" s="12" t="inlineStr">
        <is>
          <t>Minimum Jump Height:</t>
        </is>
      </c>
      <c r="E747" s="34" t="inlineStr">
        <is>
          <t>Long Jump</t>
        </is>
      </c>
      <c r="F747" s="34" t="n"/>
      <c r="G747" s="34" t="n"/>
      <c r="H747" s="34" t="n"/>
      <c r="I747" s="34" t="n"/>
      <c r="J747" s="16" t="n"/>
    </row>
    <row r="748">
      <c r="B748" s="42" t="n"/>
      <c r="D748" s="12" t="inlineStr">
        <is>
          <t>Cap Throws that work:</t>
        </is>
      </c>
      <c r="E748" s="34" t="inlineStr">
        <is>
          <t>No Cap Throw Needed</t>
        </is>
      </c>
      <c r="F748" s="34" t="n"/>
      <c r="G748" s="34" t="n"/>
      <c r="H748" s="34" t="n"/>
      <c r="I748" s="34" t="n"/>
      <c r="J748" s="16" t="n"/>
    </row>
    <row r="749">
      <c r="A749" s="43" t="n"/>
      <c r="B749" s="44" t="n"/>
      <c r="C749" s="43" t="n"/>
      <c r="D749" s="19" t="inlineStr">
        <is>
          <t>Other Required:</t>
        </is>
      </c>
      <c r="E749" s="35" t="inlineStr">
        <is>
          <t>None</t>
        </is>
      </c>
      <c r="F749" s="35" t="n"/>
      <c r="G749" s="35" t="n"/>
      <c r="H749" s="35" t="n"/>
      <c r="I749" s="35" t="n"/>
      <c r="J749" s="16" t="n"/>
    </row>
    <row r="750">
      <c r="A750" s="41" t="b">
        <v>1</v>
      </c>
      <c r="B750" s="31" t="inlineStr">
        <is>
          <t>Lake Kingdom: Taking Notes: In the Cliffside</t>
        </is>
      </c>
      <c r="C750" s="35" t="inlineStr">
        <is>
          <t>Zipper</t>
        </is>
      </c>
      <c r="D750" s="12" t="inlineStr">
        <is>
          <t>Minimum Jump Height:</t>
        </is>
      </c>
      <c r="E750" s="34" t="inlineStr">
        <is>
          <t>Long Jump</t>
        </is>
      </c>
      <c r="F750" s="34" t="inlineStr">
        <is>
          <t>Single Jump (258)</t>
        </is>
      </c>
      <c r="G750" s="34" t="n"/>
      <c r="H750" s="34" t="n"/>
      <c r="I750" s="34" t="n"/>
      <c r="J750" s="16" t="n"/>
    </row>
    <row r="751">
      <c r="B751" s="42" t="n"/>
      <c r="D751" s="12" t="inlineStr">
        <is>
          <t>Cap Throws that work:</t>
        </is>
      </c>
      <c r="E751" s="34" t="inlineStr">
        <is>
          <t>Neutral Throw, Up Throw, Down Throw, Spin Throw</t>
        </is>
      </c>
      <c r="F751" s="34" t="inlineStr">
        <is>
          <t>Neutral Throw, Up Throw</t>
        </is>
      </c>
      <c r="G751" s="34" t="n"/>
      <c r="H751" s="34" t="n"/>
      <c r="I751" s="34" t="n"/>
      <c r="J751" s="16" t="n"/>
    </row>
    <row r="752">
      <c r="A752" s="43" t="n"/>
      <c r="B752" s="44" t="n"/>
      <c r="C752" s="43" t="n"/>
      <c r="D752" s="19" t="inlineStr">
        <is>
          <t>Other Required:</t>
        </is>
      </c>
      <c r="E752" s="35" t="inlineStr">
        <is>
          <t>Capture</t>
        </is>
      </c>
      <c r="F752" s="35" t="inlineStr">
        <is>
          <t>Dive</t>
        </is>
      </c>
      <c r="G752" s="35" t="n"/>
      <c r="H752" s="35" t="n"/>
      <c r="I752" s="35" t="n"/>
      <c r="J752" s="16" t="n"/>
    </row>
    <row r="753">
      <c r="A753" s="41" t="b">
        <v>1</v>
      </c>
      <c r="B753" s="31" t="inlineStr">
        <is>
          <t>Lake Kingdom: Lake Fishing</t>
        </is>
      </c>
      <c r="C753" s="35" t="inlineStr">
        <is>
          <t>Lakitu</t>
        </is>
      </c>
      <c r="D753" s="12" t="inlineStr">
        <is>
          <t>Minimum Jump Height:</t>
        </is>
      </c>
      <c r="E753" s="34" t="inlineStr">
        <is>
          <t>Long Jump</t>
        </is>
      </c>
      <c r="F753" s="34" t="n"/>
      <c r="G753" s="34" t="n"/>
      <c r="H753" s="34" t="n"/>
      <c r="I753" s="34" t="n"/>
      <c r="J753" s="16" t="n"/>
    </row>
    <row r="754">
      <c r="B754" s="42" t="n"/>
      <c r="D754" s="12" t="inlineStr">
        <is>
          <t>Cap Throws that work:</t>
        </is>
      </c>
      <c r="E754" s="34" t="inlineStr">
        <is>
          <t>Neutral Throw, Up Throw, Down Throw, Spin Throw</t>
        </is>
      </c>
      <c r="F754" s="34" t="n"/>
      <c r="G754" s="34" t="n"/>
      <c r="H754" s="34" t="n"/>
      <c r="I754" s="34" t="n"/>
      <c r="J754" s="16" t="n"/>
    </row>
    <row r="755">
      <c r="A755" s="43" t="n"/>
      <c r="B755" s="44" t="n"/>
      <c r="C755" s="43" t="n"/>
      <c r="D755" s="19" t="inlineStr">
        <is>
          <t>Other Required:</t>
        </is>
      </c>
      <c r="E755" s="35" t="inlineStr">
        <is>
          <t>Capture</t>
        </is>
      </c>
      <c r="F755" s="35" t="n"/>
      <c r="G755" s="35" t="n"/>
      <c r="H755" s="35" t="n"/>
      <c r="I755" s="35" t="n"/>
      <c r="J755" s="16" t="n"/>
    </row>
    <row r="756">
      <c r="A756" s="41" t="b">
        <v>1</v>
      </c>
      <c r="B756" s="31" t="inlineStr">
        <is>
          <t>Lake Kingdom: I Met a Lake Cheep Cheep!</t>
        </is>
      </c>
      <c r="C756" s="35" t="inlineStr">
        <is>
          <t>Cheep Cheep</t>
        </is>
      </c>
      <c r="D756" s="12" t="inlineStr">
        <is>
          <t>Minimum Jump Height:</t>
        </is>
      </c>
      <c r="E756" s="34" t="inlineStr">
        <is>
          <t>Long Jump</t>
        </is>
      </c>
      <c r="F756" s="34" t="n"/>
      <c r="G756" s="34" t="n"/>
      <c r="H756" s="34" t="n"/>
      <c r="I756" s="34" t="n"/>
      <c r="J756" s="16" t="n"/>
    </row>
    <row r="757">
      <c r="B757" s="42" t="n"/>
      <c r="D757" s="12" t="inlineStr">
        <is>
          <t>Cap Throws that work:</t>
        </is>
      </c>
      <c r="E757" s="34" t="inlineStr">
        <is>
          <t>Neutral Throw, Up Throw, Down Throw, Spin Throw</t>
        </is>
      </c>
      <c r="F757" s="34" t="n"/>
      <c r="G757" s="34" t="n"/>
      <c r="H757" s="34" t="n"/>
      <c r="I757" s="34" t="n"/>
      <c r="J757" s="16" t="n"/>
    </row>
    <row r="758">
      <c r="A758" s="43" t="n"/>
      <c r="B758" s="44" t="n"/>
      <c r="C758" s="43" t="n"/>
      <c r="D758" s="19" t="inlineStr">
        <is>
          <t>Other Required:</t>
        </is>
      </c>
      <c r="E758" s="35" t="inlineStr">
        <is>
          <t>Capture</t>
        </is>
      </c>
      <c r="F758" s="35" t="n"/>
      <c r="G758" s="35" t="n"/>
      <c r="H758" s="35" t="n"/>
      <c r="I758" s="35" t="n"/>
      <c r="J758" s="16" t="n"/>
    </row>
    <row r="759">
      <c r="A759" s="41" t="b">
        <v>1</v>
      </c>
      <c r="B759" s="31" t="inlineStr">
        <is>
          <t>Lake Kingdom: Our Secret Little Room</t>
        </is>
      </c>
      <c r="C759" s="35" t="inlineStr">
        <is>
          <t>Zipper</t>
        </is>
      </c>
      <c r="D759" s="12" t="inlineStr">
        <is>
          <t>Minimum Jump Height:</t>
        </is>
      </c>
      <c r="E759" s="34" t="inlineStr">
        <is>
          <t>Long Jump</t>
        </is>
      </c>
      <c r="F759" s="34" t="inlineStr">
        <is>
          <t>Single Jump (258)</t>
        </is>
      </c>
      <c r="G759" s="34" t="n"/>
      <c r="H759" s="34" t="n"/>
      <c r="I759" s="34" t="n"/>
      <c r="J759" s="16" t="n"/>
    </row>
    <row r="760">
      <c r="B760" s="42" t="n"/>
      <c r="D760" s="12" t="inlineStr">
        <is>
          <t>Cap Throws that work:</t>
        </is>
      </c>
      <c r="E760" s="34" t="inlineStr">
        <is>
          <t>Neutral Throw, Up Throw, Down Throw, Spin Throw</t>
        </is>
      </c>
      <c r="F760" s="34" t="inlineStr">
        <is>
          <t>Neutral Throw, Up Throw</t>
        </is>
      </c>
      <c r="G760" s="34" t="n"/>
      <c r="H760" s="34" t="n"/>
      <c r="I760" s="34" t="n"/>
      <c r="J760" s="16" t="n"/>
    </row>
    <row r="761">
      <c r="A761" s="43" t="n"/>
      <c r="B761" s="44" t="n"/>
      <c r="C761" s="43" t="n"/>
      <c r="D761" s="19" t="inlineStr">
        <is>
          <t>Other Required:</t>
        </is>
      </c>
      <c r="E761" s="35" t="inlineStr">
        <is>
          <t>Capture</t>
        </is>
      </c>
      <c r="F761" s="35" t="inlineStr">
        <is>
          <t>Dive</t>
        </is>
      </c>
      <c r="G761" s="35" t="n"/>
      <c r="H761" s="35" t="n"/>
      <c r="I761" s="35" t="n"/>
      <c r="J761" s="16" t="n"/>
    </row>
    <row r="762">
      <c r="A762" s="41" t="b">
        <v>1</v>
      </c>
      <c r="B762" s="31" t="inlineStr">
        <is>
          <t>Lake Kingdom: Let's Go Swimming, Captain Toad!</t>
        </is>
      </c>
      <c r="C762" s="35" t="inlineStr">
        <is>
          <t>Cheep Cheep</t>
        </is>
      </c>
      <c r="D762" s="12" t="inlineStr">
        <is>
          <t>Minimum Jump Height:</t>
        </is>
      </c>
      <c r="E762" s="34" t="inlineStr">
        <is>
          <t>Long Jump</t>
        </is>
      </c>
      <c r="F762" s="34" t="inlineStr">
        <is>
          <t>Single Jump (258)</t>
        </is>
      </c>
      <c r="G762" s="34" t="n"/>
      <c r="H762" s="34" t="n"/>
      <c r="I762" s="34" t="n"/>
      <c r="J762" s="16" t="n"/>
    </row>
    <row r="763">
      <c r="B763" s="42" t="n"/>
      <c r="D763" s="12" t="inlineStr">
        <is>
          <t>Cap Throws that work:</t>
        </is>
      </c>
      <c r="E763" s="34" t="inlineStr">
        <is>
          <t>Neutral Throw, Up Throw, Down Throw, Spin Throw</t>
        </is>
      </c>
      <c r="F763" s="34" t="inlineStr">
        <is>
          <t>Neutral Throw, Up Throw</t>
        </is>
      </c>
      <c r="G763" s="34" t="n"/>
      <c r="H763" s="34" t="n"/>
      <c r="I763" s="34" t="n"/>
      <c r="J763" s="16" t="n"/>
    </row>
    <row r="764">
      <c r="A764" s="43" t="n"/>
      <c r="B764" s="44" t="n"/>
      <c r="C764" s="43" t="n"/>
      <c r="D764" s="19" t="inlineStr">
        <is>
          <t>Other Required:</t>
        </is>
      </c>
      <c r="E764" s="35" t="inlineStr">
        <is>
          <t>Capture</t>
        </is>
      </c>
      <c r="F764" s="35" t="inlineStr">
        <is>
          <t>Dive</t>
        </is>
      </c>
      <c r="G764" s="35" t="n"/>
      <c r="H764" s="35" t="n"/>
      <c r="I764" s="35" t="n"/>
      <c r="J764" s="16" t="n"/>
    </row>
    <row r="765">
      <c r="A765" s="41" t="b">
        <v>1</v>
      </c>
      <c r="B765" s="31" t="inlineStr">
        <is>
          <t>Crazy Cap Store (Lake): Shopping in Lake Lamode</t>
        </is>
      </c>
      <c r="C765" s="35" t="n"/>
      <c r="D765" s="12" t="inlineStr">
        <is>
          <t>Minimum Jump Height:</t>
        </is>
      </c>
      <c r="E765" s="34" t="inlineStr">
        <is>
          <t>No Jump Needed</t>
        </is>
      </c>
      <c r="F765" s="34" t="n"/>
      <c r="G765" s="34" t="n"/>
      <c r="H765" s="34" t="n"/>
      <c r="I765" s="34" t="n"/>
      <c r="J765" s="16" t="n"/>
    </row>
    <row r="766">
      <c r="B766" s="42" t="n"/>
      <c r="D766" s="12" t="inlineStr">
        <is>
          <t>Cap Throws that work:</t>
        </is>
      </c>
      <c r="E766" s="34" t="inlineStr">
        <is>
          <t>No Cap Throw Needed</t>
        </is>
      </c>
      <c r="F766" s="34" t="n"/>
      <c r="G766" s="34" t="n"/>
      <c r="H766" s="34" t="n"/>
      <c r="I766" s="34" t="n"/>
      <c r="J766" s="16" t="n"/>
    </row>
    <row r="767">
      <c r="A767" s="43" t="n"/>
      <c r="B767" s="44" t="n"/>
      <c r="C767" s="43" t="n"/>
      <c r="D767" s="19" t="inlineStr">
        <is>
          <t>Other Required:</t>
        </is>
      </c>
      <c r="E767" s="35" t="inlineStr">
        <is>
          <t>None</t>
        </is>
      </c>
      <c r="F767" s="35" t="n"/>
      <c r="G767" s="35" t="n"/>
      <c r="H767" s="35" t="n"/>
      <c r="I767" s="35" t="n"/>
      <c r="J767" s="16" t="n"/>
    </row>
    <row r="768">
      <c r="A768" s="41" t="b">
        <v>1</v>
      </c>
      <c r="B768" s="31" t="inlineStr">
        <is>
          <t>Puzzle Room: A Successful Repair Job</t>
        </is>
      </c>
      <c r="C768" s="35" t="inlineStr">
        <is>
          <t>Puzzle Part (Lake Kingdom)</t>
        </is>
      </c>
      <c r="D768" s="12" t="inlineStr">
        <is>
          <t>Minimum Jump Height:</t>
        </is>
      </c>
      <c r="E768" s="34" t="inlineStr">
        <is>
          <t>Single Jump (258)</t>
        </is>
      </c>
      <c r="F768" s="34" t="n"/>
      <c r="G768" s="34" t="n"/>
      <c r="H768" s="34" t="n"/>
      <c r="I768" s="34" t="n"/>
      <c r="J768" s="16" t="n"/>
    </row>
    <row r="769">
      <c r="B769" s="42" t="n"/>
      <c r="D769" s="12" t="inlineStr">
        <is>
          <t>Cap Throws that work:</t>
        </is>
      </c>
      <c r="E769" s="34" t="inlineStr">
        <is>
          <t>Neutral Throw</t>
        </is>
      </c>
      <c r="F769" s="34" t="n"/>
      <c r="G769" s="34" t="n"/>
      <c r="H769" s="34" t="n"/>
      <c r="I769" s="34" t="n"/>
      <c r="J769" s="16" t="n"/>
    </row>
    <row r="770">
      <c r="A770" s="43" t="n"/>
      <c r="B770" s="44" t="n"/>
      <c r="C770" s="43" t="n"/>
      <c r="D770" s="19" t="inlineStr">
        <is>
          <t>Other Required:</t>
        </is>
      </c>
      <c r="E770" s="35" t="inlineStr">
        <is>
          <t>Capture</t>
        </is>
      </c>
      <c r="F770" s="35" t="n"/>
      <c r="G770" s="35" t="n"/>
      <c r="H770" s="35" t="n"/>
      <c r="I770" s="35" t="n"/>
      <c r="J770" s="16" t="n"/>
    </row>
    <row r="771">
      <c r="A771" s="41" t="b">
        <v>1</v>
      </c>
      <c r="B771" s="31" t="inlineStr">
        <is>
          <t>Lake Kingdom: I Feel Underdressed</t>
        </is>
      </c>
      <c r="C771" s="35" t="n"/>
      <c r="D771" s="12" t="inlineStr">
        <is>
          <t>Minimum Jump Height:</t>
        </is>
      </c>
      <c r="E771" s="34" t="inlineStr">
        <is>
          <t>Long Jump</t>
        </is>
      </c>
      <c r="F771" s="34" t="inlineStr">
        <is>
          <t>Single Jump (258)</t>
        </is>
      </c>
      <c r="G771" s="34" t="n"/>
      <c r="H771" s="34" t="n"/>
      <c r="I771" s="34" t="n"/>
      <c r="J771" s="16" t="n"/>
    </row>
    <row r="772">
      <c r="B772" s="42" t="n"/>
      <c r="D772" s="12" t="inlineStr">
        <is>
          <t>Cap Throws that work:</t>
        </is>
      </c>
      <c r="E772" s="34" t="inlineStr">
        <is>
          <t>Neutral Throw, Up Throw, Down Throw, Spin Throw</t>
        </is>
      </c>
      <c r="F772" s="34" t="inlineStr">
        <is>
          <t>Neutral Throw, Up Throw</t>
        </is>
      </c>
      <c r="G772" s="34" t="n"/>
      <c r="H772" s="34" t="n"/>
      <c r="I772" s="34" t="n"/>
      <c r="J772" s="16" t="n"/>
    </row>
    <row r="773">
      <c r="A773" s="43" t="n"/>
      <c r="B773" s="44" t="n"/>
      <c r="C773" s="43" t="n"/>
      <c r="D773" s="19" t="inlineStr">
        <is>
          <t>Other Required:</t>
        </is>
      </c>
      <c r="E773" s="35" t="inlineStr">
        <is>
          <t>Capture</t>
        </is>
      </c>
      <c r="F773" s="35" t="inlineStr">
        <is>
          <t>Dive</t>
        </is>
      </c>
      <c r="G773" s="35" t="n"/>
      <c r="H773" s="35" t="n"/>
      <c r="I773" s="35" t="n"/>
      <c r="J773" s="16" t="n"/>
    </row>
    <row r="774">
      <c r="A774" s="41" t="b">
        <v>1</v>
      </c>
      <c r="B774" s="31" t="inlineStr">
        <is>
          <t>Unzipping the Chasm: Unzip the Chasm</t>
        </is>
      </c>
      <c r="C774" s="35" t="inlineStr">
        <is>
          <t>Zipper</t>
        </is>
      </c>
      <c r="D774" s="12" t="inlineStr">
        <is>
          <t>Minimum Jump Height:</t>
        </is>
      </c>
      <c r="E774" s="34" t="inlineStr">
        <is>
          <t>Single Jump (258)</t>
        </is>
      </c>
      <c r="F774" s="34" t="n"/>
      <c r="G774" s="34" t="n"/>
      <c r="H774" s="34" t="n"/>
      <c r="I774" s="34" t="n"/>
      <c r="J774" s="16" t="n"/>
    </row>
    <row r="775">
      <c r="B775" s="42" t="n"/>
      <c r="D775" s="12" t="inlineStr">
        <is>
          <t>Cap Throws that work:</t>
        </is>
      </c>
      <c r="E775" s="34" t="inlineStr">
        <is>
          <t>No Cap Throw Needed</t>
        </is>
      </c>
      <c r="F775" s="34" t="n"/>
      <c r="G775" s="34" t="n"/>
      <c r="H775" s="34" t="n"/>
      <c r="I775" s="34" t="n"/>
      <c r="J775" s="16" t="n"/>
    </row>
    <row r="776">
      <c r="A776" s="43" t="n"/>
      <c r="B776" s="44" t="n"/>
      <c r="C776" s="43" t="n"/>
      <c r="D776" s="19" t="inlineStr">
        <is>
          <t>Other Required:</t>
        </is>
      </c>
      <c r="E776" s="35" t="inlineStr">
        <is>
          <t>Capture</t>
        </is>
      </c>
      <c r="F776" s="35" t="n"/>
      <c r="G776" s="35" t="n"/>
      <c r="H776" s="35" t="n"/>
      <c r="I776" s="35" t="n"/>
      <c r="J776" s="16" t="n"/>
    </row>
    <row r="777">
      <c r="A777" s="41" t="b">
        <v>1</v>
      </c>
      <c r="B777" s="31" t="inlineStr">
        <is>
          <t>Unzipping the Chasm: Super-Secret Zipper</t>
        </is>
      </c>
      <c r="C777" s="35" t="inlineStr">
        <is>
          <t>Zipper</t>
        </is>
      </c>
      <c r="D777" s="12" t="inlineStr">
        <is>
          <t>Minimum Jump Height:</t>
        </is>
      </c>
      <c r="E777" s="34" t="inlineStr">
        <is>
          <t>Single Jump (258)</t>
        </is>
      </c>
      <c r="F777" s="34" t="n"/>
      <c r="G777" s="34" t="n"/>
      <c r="H777" s="34" t="n"/>
      <c r="I777" s="34" t="n"/>
      <c r="J777" s="16" t="n"/>
    </row>
    <row r="778">
      <c r="B778" s="42" t="n"/>
      <c r="D778" s="12" t="inlineStr">
        <is>
          <t>Cap Throws that work:</t>
        </is>
      </c>
      <c r="E778" s="34" t="inlineStr">
        <is>
          <t>No Cap Throw Needed</t>
        </is>
      </c>
      <c r="F778" s="34" t="n"/>
      <c r="G778" s="34" t="n"/>
      <c r="H778" s="34" t="n"/>
      <c r="I778" s="34" t="n"/>
      <c r="J778" s="16" t="n"/>
    </row>
    <row r="779">
      <c r="A779" s="43" t="n"/>
      <c r="B779" s="44" t="n"/>
      <c r="C779" s="43" t="n"/>
      <c r="D779" s="19" t="inlineStr">
        <is>
          <t>Other Required:</t>
        </is>
      </c>
      <c r="E779" s="35" t="inlineStr">
        <is>
          <t>Capture, Dive</t>
        </is>
      </c>
      <c r="F779" s="35" t="n"/>
      <c r="G779" s="35" t="n"/>
      <c r="H779" s="35" t="n"/>
      <c r="I779" s="35" t="n"/>
      <c r="J779" s="16" t="n"/>
    </row>
    <row r="780">
      <c r="A780" s="41" t="b">
        <v>1</v>
      </c>
      <c r="B780" s="31" t="inlineStr">
        <is>
          <t>Jump, Grab, Cling, Climb: Jump, Grab, Cling, and Climb</t>
        </is>
      </c>
      <c r="C780" s="35" t="n"/>
      <c r="D780" s="12" t="inlineStr">
        <is>
          <t>Minimum Jump Height:</t>
        </is>
      </c>
      <c r="E780" s="34" t="inlineStr">
        <is>
          <t>Backflip/Vault/Side Flip (496)</t>
        </is>
      </c>
      <c r="F780" s="34" t="inlineStr">
        <is>
          <t>Backflip/Vault/Side Flip (496)</t>
        </is>
      </c>
      <c r="G780" s="34" t="n"/>
      <c r="H780" s="34" t="n"/>
      <c r="I780" s="34" t="n"/>
      <c r="J780" s="16" t="n"/>
    </row>
    <row r="781">
      <c r="B781" s="42" t="n"/>
      <c r="D781" s="12" t="inlineStr">
        <is>
          <t>Cap Throws that work:</t>
        </is>
      </c>
      <c r="E781" s="34" t="inlineStr">
        <is>
          <t>Neutral Throw, Down Throw, Spin Throw, Up Throw</t>
        </is>
      </c>
      <c r="F781" s="34" t="inlineStr">
        <is>
          <t>Neutral Throw, Up Throw, Down Throw, Spin Throw</t>
        </is>
      </c>
      <c r="G781" s="34" t="n"/>
      <c r="H781" s="34" t="n"/>
      <c r="I781" s="34" t="n"/>
      <c r="J781" s="16" t="n"/>
    </row>
    <row r="782">
      <c r="A782" s="43" t="n"/>
      <c r="B782" s="44" t="n"/>
      <c r="C782" s="43" t="n"/>
      <c r="D782" s="19" t="inlineStr">
        <is>
          <t>Other Required:</t>
        </is>
      </c>
      <c r="E782" s="35" t="inlineStr">
        <is>
          <t>, Capture</t>
        </is>
      </c>
      <c r="F782" s="35" t="inlineStr">
        <is>
          <t>, Dive</t>
        </is>
      </c>
      <c r="G782" s="35" t="n"/>
      <c r="H782" s="35" t="n"/>
      <c r="I782" s="35" t="n"/>
      <c r="J782" s="16" t="n"/>
    </row>
    <row r="783">
      <c r="A783" s="41" t="b">
        <v>1</v>
      </c>
      <c r="B783" s="31" t="inlineStr">
        <is>
          <t>Jump, Grab, Cling, Climb: Jump, Grab, and Climb Some More</t>
        </is>
      </c>
      <c r="C783" s="35" t="n"/>
      <c r="D783" s="12" t="inlineStr">
        <is>
          <t>Minimum Jump Height:</t>
        </is>
      </c>
      <c r="E783" s="34" t="inlineStr">
        <is>
          <t>Backflip/Vault/Side Flip (496)</t>
        </is>
      </c>
      <c r="F783" s="34" t="inlineStr">
        <is>
          <t>Backflip/Vault/Side Flip (496)</t>
        </is>
      </c>
      <c r="G783" s="34" t="n"/>
      <c r="H783" s="34" t="n"/>
      <c r="I783" s="34" t="n"/>
      <c r="J783" s="16" t="n"/>
    </row>
    <row r="784">
      <c r="B784" s="42" t="n"/>
      <c r="D784" s="12" t="inlineStr">
        <is>
          <t>Cap Throws that work:</t>
        </is>
      </c>
      <c r="E784" s="34" t="inlineStr">
        <is>
          <t>Neutral Throw, Up Throw, Down Throw, Spin Throw</t>
        </is>
      </c>
      <c r="F784" s="34" t="inlineStr">
        <is>
          <t>Neutral Throw, Up Throw, Down Throw, Spin Throw</t>
        </is>
      </c>
      <c r="G784" s="34" t="n"/>
      <c r="H784" s="34" t="n"/>
      <c r="I784" s="34" t="n"/>
      <c r="J784" s="16" t="n"/>
    </row>
    <row r="785">
      <c r="A785" s="43" t="n"/>
      <c r="B785" s="44" t="n"/>
      <c r="C785" s="43" t="n"/>
      <c r="D785" s="19" t="inlineStr">
        <is>
          <t>Other Required:</t>
        </is>
      </c>
      <c r="E785" s="35" t="inlineStr">
        <is>
          <t>, Capture</t>
        </is>
      </c>
      <c r="F785" s="35" t="inlineStr">
        <is>
          <t>, Dive</t>
        </is>
      </c>
      <c r="G785" s="35" t="n"/>
      <c r="H785" s="35" t="n"/>
      <c r="I785" s="35" t="n"/>
      <c r="J785" s="16" t="n"/>
    </row>
    <row r="786">
      <c r="A786" s="41" t="b">
        <v>1</v>
      </c>
      <c r="B786" s="31" t="inlineStr">
        <is>
          <t>Lake Kingdom: Secret Path to Lake Lamode!</t>
        </is>
      </c>
      <c r="C786" s="35" t="n"/>
      <c r="D786" s="12" t="inlineStr">
        <is>
          <t>Minimum Jump Height:</t>
        </is>
      </c>
      <c r="E786" s="34" t="inlineStr">
        <is>
          <t>Long Jump</t>
        </is>
      </c>
      <c r="F786" s="34" t="inlineStr">
        <is>
          <t>Long Jump</t>
        </is>
      </c>
      <c r="G786" s="34" t="inlineStr">
        <is>
          <t>Single Jump (258)</t>
        </is>
      </c>
      <c r="H786" s="34" t="n"/>
      <c r="I786" s="34" t="n"/>
      <c r="J786" s="16" t="n"/>
    </row>
    <row r="787">
      <c r="B787" s="42" t="n"/>
      <c r="D787" s="12" t="inlineStr">
        <is>
          <t>Cap Throws that work:</t>
        </is>
      </c>
      <c r="E787" s="34" t="inlineStr">
        <is>
          <t>Neutral Throw, Up Throw, Down Throw, Spin Throw</t>
        </is>
      </c>
      <c r="F787" s="34" t="inlineStr">
        <is>
          <t>No Cap Throw Needed</t>
        </is>
      </c>
      <c r="G787" s="34" t="inlineStr">
        <is>
          <t>No Cap Throw Needed</t>
        </is>
      </c>
      <c r="H787" s="34" t="n"/>
      <c r="I787" s="34" t="n"/>
      <c r="J787" s="16" t="n"/>
    </row>
    <row r="788">
      <c r="A788" s="43" t="n"/>
      <c r="B788" s="44" t="n"/>
      <c r="C788" s="43" t="n"/>
      <c r="D788" s="19" t="inlineStr">
        <is>
          <t>Other Required:</t>
        </is>
      </c>
      <c r="E788" s="35" t="inlineStr">
        <is>
          <t>None</t>
        </is>
      </c>
      <c r="F788" s="35" t="inlineStr">
        <is>
          <t>Roll</t>
        </is>
      </c>
      <c r="G788" s="35" t="inlineStr">
        <is>
          <t>Ground Pound</t>
        </is>
      </c>
      <c r="H788" s="35" t="n"/>
      <c r="I788" s="35" t="n"/>
      <c r="J788" s="16" t="n"/>
    </row>
    <row r="789">
      <c r="A789" s="41" t="b">
        <v>1</v>
      </c>
      <c r="B789" s="31" t="inlineStr">
        <is>
          <t>Lake Kingdom: Found with Lake Kingdom Art</t>
        </is>
      </c>
      <c r="C789" s="35" t="n"/>
      <c r="D789" s="12" t="inlineStr">
        <is>
          <t>Minimum Jump Height:</t>
        </is>
      </c>
      <c r="E789" s="34" t="inlineStr">
        <is>
          <t>Single Jump (258)</t>
        </is>
      </c>
      <c r="F789" s="34" t="n"/>
      <c r="G789" s="34" t="n"/>
      <c r="H789" s="34" t="n"/>
      <c r="I789" s="34" t="n"/>
      <c r="J789" s="16" t="n"/>
    </row>
    <row r="790">
      <c r="B790" s="42" t="n"/>
      <c r="D790" s="12" t="inlineStr">
        <is>
          <t>Cap Throws that work:</t>
        </is>
      </c>
      <c r="E790" s="34" t="inlineStr">
        <is>
          <t>No Cap Throw Needed</t>
        </is>
      </c>
      <c r="F790" s="34" t="n"/>
      <c r="G790" s="34" t="n"/>
      <c r="H790" s="34" t="n"/>
      <c r="I790" s="34" t="n"/>
      <c r="J790" s="16" t="n"/>
    </row>
    <row r="791">
      <c r="A791" s="43" t="n"/>
      <c r="B791" s="44" t="n"/>
      <c r="C791" s="43" t="n"/>
      <c r="D791" s="19" t="inlineStr">
        <is>
          <t>Other Required:</t>
        </is>
      </c>
      <c r="E791" s="35" t="inlineStr">
        <is>
          <t>, Ground Pound</t>
        </is>
      </c>
      <c r="F791" s="35" t="n"/>
      <c r="G791" s="35" t="n"/>
      <c r="H791" s="35" t="n"/>
      <c r="I791" s="35" t="n"/>
      <c r="J791" s="16" t="n"/>
    </row>
    <row r="792">
      <c r="A792" s="41" t="b">
        <v>1</v>
      </c>
      <c r="B792" s="31" t="inlineStr">
        <is>
          <t>Lake Kingdom: Taxi Flying Through Lake Lamode</t>
        </is>
      </c>
      <c r="C792" s="35" t="inlineStr">
        <is>
          <t>Binoculars</t>
        </is>
      </c>
      <c r="D792" s="12" t="inlineStr">
        <is>
          <t>Minimum Jump Height:</t>
        </is>
      </c>
      <c r="E792" s="34" t="inlineStr">
        <is>
          <t>Long Jump</t>
        </is>
      </c>
      <c r="F792" s="34" t="n"/>
      <c r="G792" s="34" t="n"/>
      <c r="H792" s="34" t="n"/>
      <c r="I792" s="34" t="n"/>
      <c r="J792" s="16" t="n"/>
    </row>
    <row r="793">
      <c r="B793" s="42" t="n"/>
      <c r="D793" s="12" t="inlineStr">
        <is>
          <t>Cap Throws that work:</t>
        </is>
      </c>
      <c r="E793" s="34" t="inlineStr">
        <is>
          <t>Neutral Throw, Up Throw, Down Throw, Spin Throw</t>
        </is>
      </c>
      <c r="F793" s="34" t="n"/>
      <c r="G793" s="34" t="n"/>
      <c r="H793" s="34" t="n"/>
      <c r="I793" s="34" t="n"/>
      <c r="J793" s="16" t="n"/>
    </row>
    <row r="794">
      <c r="A794" s="43" t="n"/>
      <c r="B794" s="44" t="n"/>
      <c r="C794" s="43" t="n"/>
      <c r="D794" s="19" t="inlineStr">
        <is>
          <t>Other Required:</t>
        </is>
      </c>
      <c r="E794" s="35" t="inlineStr">
        <is>
          <t>Capture</t>
        </is>
      </c>
      <c r="F794" s="35" t="n"/>
      <c r="G794" s="35" t="n"/>
      <c r="H794" s="35" t="n"/>
      <c r="I794" s="35" t="n"/>
      <c r="J794" s="16" t="n"/>
    </row>
    <row r="795">
      <c r="A795" s="41" t="b">
        <v>1</v>
      </c>
      <c r="B795" s="31" t="inlineStr">
        <is>
          <t>Lake Kingdom: That Trendy "Pirate" Look</t>
        </is>
      </c>
      <c r="C795" s="35" t="n"/>
      <c r="D795" s="12" t="inlineStr">
        <is>
          <t>Minimum Jump Height:</t>
        </is>
      </c>
      <c r="E795" s="34" t="inlineStr">
        <is>
          <t>Single Jump (258)</t>
        </is>
      </c>
      <c r="F795" s="34" t="inlineStr">
        <is>
          <t>Long Jump</t>
        </is>
      </c>
      <c r="G795" s="34" t="n"/>
      <c r="H795" s="34" t="n"/>
      <c r="I795" s="34" t="n"/>
      <c r="J795" s="16" t="n"/>
    </row>
    <row r="796">
      <c r="B796" s="42" t="n"/>
      <c r="D796" s="12" t="inlineStr">
        <is>
          <t>Cap Throws that work:</t>
        </is>
      </c>
      <c r="E796" s="34" t="inlineStr">
        <is>
          <t>No Cap Throw Needed</t>
        </is>
      </c>
      <c r="F796" s="34" t="inlineStr">
        <is>
          <t>Neutral Throw, Up Throw, Down Throw, Spin Throw</t>
        </is>
      </c>
      <c r="G796" s="34" t="n"/>
      <c r="H796" s="34" t="n"/>
      <c r="I796" s="34" t="n"/>
      <c r="J796" s="16" t="n"/>
    </row>
    <row r="797">
      <c r="A797" s="43" t="n"/>
      <c r="B797" s="44" t="n"/>
      <c r="C797" s="43" t="n"/>
      <c r="D797" s="19" t="inlineStr">
        <is>
          <t>Other Required:</t>
        </is>
      </c>
      <c r="E797" s="35" t="n"/>
      <c r="F797" s="35" t="n"/>
      <c r="G797" s="35" t="n"/>
      <c r="H797" s="35" t="n"/>
      <c r="I797" s="35" t="n"/>
      <c r="J797" s="16" t="n"/>
    </row>
    <row r="798">
      <c r="A798" s="41" t="b">
        <v>1</v>
      </c>
      <c r="B798" s="31" t="inlineStr">
        <is>
          <t>Lake Kingdom: Space Is "In" Right Now</t>
        </is>
      </c>
      <c r="C798" s="35" t="n"/>
      <c r="D798" s="12" t="inlineStr">
        <is>
          <t>Minimum Jump Height:</t>
        </is>
      </c>
      <c r="E798" s="34" t="inlineStr">
        <is>
          <t>Single Jump (258)</t>
        </is>
      </c>
      <c r="F798" s="34" t="inlineStr">
        <is>
          <t>Long Jump</t>
        </is>
      </c>
      <c r="G798" s="34" t="n"/>
      <c r="H798" s="34" t="n"/>
      <c r="I798" s="34" t="n"/>
      <c r="J798" s="16" t="n"/>
    </row>
    <row r="799">
      <c r="B799" s="42" t="n"/>
      <c r="D799" s="12" t="inlineStr">
        <is>
          <t>Cap Throws that work:</t>
        </is>
      </c>
      <c r="E799" s="34" t="inlineStr">
        <is>
          <t>No Cap Throw Needed</t>
        </is>
      </c>
      <c r="F799" s="34" t="inlineStr">
        <is>
          <t>Neutral Throw, Up Throw, Down Throw, Spin Throw</t>
        </is>
      </c>
      <c r="G799" s="34" t="n"/>
      <c r="H799" s="34" t="n"/>
      <c r="I799" s="34" t="n"/>
      <c r="J799" s="16" t="n"/>
    </row>
    <row r="800">
      <c r="A800" s="43" t="n"/>
      <c r="B800" s="44" t="n"/>
      <c r="C800" s="43" t="n"/>
      <c r="D800" s="19" t="inlineStr">
        <is>
          <t>Other Required:</t>
        </is>
      </c>
      <c r="E800" s="35" t="n"/>
      <c r="F800" s="35" t="n"/>
      <c r="G800" s="35" t="n"/>
      <c r="H800" s="35" t="n"/>
      <c r="I800" s="35" t="n"/>
      <c r="J800" s="16" t="n"/>
    </row>
    <row r="801">
      <c r="A801" s="41" t="b">
        <v>1</v>
      </c>
      <c r="B801" s="31" t="inlineStr">
        <is>
          <t>Lake Kingdom: That "Old West" Style</t>
        </is>
      </c>
      <c r="C801" s="35" t="n"/>
      <c r="D801" s="12" t="inlineStr">
        <is>
          <t>Minimum Jump Height:</t>
        </is>
      </c>
      <c r="E801" s="34" t="inlineStr">
        <is>
          <t>Single Jump (258)</t>
        </is>
      </c>
      <c r="F801" s="34" t="inlineStr">
        <is>
          <t>Long Jump</t>
        </is>
      </c>
      <c r="G801" s="34" t="n"/>
      <c r="H801" s="34" t="n"/>
      <c r="I801" s="34" t="n"/>
      <c r="J801" s="16" t="n"/>
    </row>
    <row r="802">
      <c r="B802" s="42" t="n"/>
      <c r="D802" s="12" t="inlineStr">
        <is>
          <t>Cap Throws that work:</t>
        </is>
      </c>
      <c r="E802" s="34" t="inlineStr">
        <is>
          <t>No Cap Throw Needed</t>
        </is>
      </c>
      <c r="F802" s="34" t="inlineStr">
        <is>
          <t>Neutral Throw, Up Throw, Down Throw, Spin Throw</t>
        </is>
      </c>
      <c r="G802" s="34" t="n"/>
      <c r="H802" s="34" t="n"/>
      <c r="I802" s="34" t="n"/>
      <c r="J802" s="16" t="n"/>
    </row>
    <row r="803">
      <c r="A803" s="43" t="n"/>
      <c r="B803" s="44" t="n"/>
      <c r="C803" s="43" t="n"/>
      <c r="D803" s="19" t="inlineStr">
        <is>
          <t>Other Required:</t>
        </is>
      </c>
      <c r="E803" s="35" t="n"/>
      <c r="F803" s="35" t="n"/>
      <c r="G803" s="35" t="n"/>
      <c r="H803" s="35" t="n"/>
      <c r="I803" s="35" t="n"/>
      <c r="J803" s="16" t="n"/>
    </row>
    <row r="804">
      <c r="A804" s="41" t="b">
        <v>1</v>
      </c>
      <c r="B804" s="31" t="inlineStr">
        <is>
          <t>Lake Kingdom: Lake Kingdom Regular Cup</t>
        </is>
      </c>
      <c r="C804" s="35" t="n"/>
      <c r="D804" s="12" t="inlineStr">
        <is>
          <t>Minimum Jump Height:</t>
        </is>
      </c>
      <c r="E804" s="34" t="inlineStr">
        <is>
          <t>Single Jump (258)</t>
        </is>
      </c>
      <c r="F804" s="34" t="inlineStr">
        <is>
          <t>Backflip/Vault/Side Flip (496)</t>
        </is>
      </c>
      <c r="G804" s="34" t="n"/>
      <c r="H804" s="34" t="n"/>
      <c r="I804" s="34" t="n"/>
      <c r="J804" s="16" t="n"/>
    </row>
    <row r="805">
      <c r="B805" s="42" t="n"/>
      <c r="D805" s="12" t="inlineStr">
        <is>
          <t>Cap Throws that work:</t>
        </is>
      </c>
      <c r="E805" s="34" t="inlineStr">
        <is>
          <t>Neutral Throw, Up Throw, Down Throw, Spin Throw</t>
        </is>
      </c>
      <c r="F805" s="34" t="inlineStr">
        <is>
          <t>Neutral Throw, Up Throw, Down Throw, Spin Throw</t>
        </is>
      </c>
      <c r="G805" s="34" t="n"/>
      <c r="H805" s="34" t="n"/>
      <c r="I805" s="34" t="n"/>
      <c r="J805" s="16" t="n"/>
    </row>
    <row r="806">
      <c r="A806" s="43" t="n"/>
      <c r="B806" s="44" t="n"/>
      <c r="C806" s="43" t="n"/>
      <c r="D806" s="19" t="inlineStr">
        <is>
          <t>Other Required:</t>
        </is>
      </c>
      <c r="E806" s="35" t="inlineStr">
        <is>
          <t>Capture</t>
        </is>
      </c>
      <c r="F806" s="35" t="inlineStr">
        <is>
          <t>Dive, Wall Slide</t>
        </is>
      </c>
      <c r="G806" s="35" t="n"/>
      <c r="H806" s="35" t="n"/>
      <c r="I806" s="35" t="n"/>
      <c r="J806" s="16" t="n"/>
    </row>
    <row r="807">
      <c r="A807" s="41" t="b">
        <v>1</v>
      </c>
      <c r="B807" s="31" t="inlineStr">
        <is>
          <t>Lake Kingdom: Peach in the Lake Kingdom</t>
        </is>
      </c>
      <c r="C807" s="35" t="n"/>
      <c r="D807" s="12" t="inlineStr">
        <is>
          <t>Minimum Jump Height:</t>
        </is>
      </c>
      <c r="E807" s="34" t="inlineStr">
        <is>
          <t>Long Jump</t>
        </is>
      </c>
      <c r="F807" s="34" t="n"/>
      <c r="G807" s="34" t="n"/>
      <c r="H807" s="34" t="n"/>
      <c r="I807" s="34" t="n"/>
      <c r="J807" s="16" t="n"/>
    </row>
    <row r="808">
      <c r="B808" s="42" t="n"/>
      <c r="D808" s="12" t="inlineStr">
        <is>
          <t>Cap Throws that work:</t>
        </is>
      </c>
      <c r="E808" s="34" t="inlineStr">
        <is>
          <t>Neutral Throw, Up Throw, Down Throw, Spin Throw</t>
        </is>
      </c>
      <c r="F808" s="34" t="n"/>
      <c r="G808" s="34" t="n"/>
      <c r="H808" s="34" t="n"/>
      <c r="I808" s="34" t="n"/>
      <c r="J808" s="16" t="n"/>
    </row>
    <row r="809">
      <c r="A809" s="43" t="n"/>
      <c r="B809" s="44" t="n"/>
      <c r="C809" s="43" t="n"/>
      <c r="D809" s="19" t="inlineStr">
        <is>
          <t>Other Required:</t>
        </is>
      </c>
      <c r="E809" s="35" t="inlineStr">
        <is>
          <t>None</t>
        </is>
      </c>
      <c r="F809" s="35" t="n"/>
      <c r="G809" s="35" t="n"/>
      <c r="H809" s="35" t="n"/>
      <c r="I809" s="35" t="n"/>
      <c r="J809" s="16" t="n"/>
    </row>
    <row r="810">
      <c r="A810" s="41" t="b">
        <v>1</v>
      </c>
      <c r="B810" s="31" t="inlineStr">
        <is>
          <t>Lake Kingdom: Behind the Floodgate</t>
        </is>
      </c>
      <c r="C810" s="35" t="n"/>
      <c r="D810" s="12" t="inlineStr">
        <is>
          <t>Minimum Jump Height:</t>
        </is>
      </c>
      <c r="E810" s="34" t="inlineStr">
        <is>
          <t>Single Jump (258)</t>
        </is>
      </c>
      <c r="F810" s="34" t="inlineStr">
        <is>
          <t>Long Jump</t>
        </is>
      </c>
      <c r="G810" s="34" t="n"/>
      <c r="H810" s="34" t="n"/>
      <c r="I810" s="34" t="n"/>
      <c r="J810" s="16" t="n"/>
    </row>
    <row r="811">
      <c r="B811" s="42" t="n"/>
      <c r="D811" s="12" t="inlineStr">
        <is>
          <t>Cap Throws that work:</t>
        </is>
      </c>
      <c r="E811" s="34" t="inlineStr">
        <is>
          <t>No Cap Throw Needed</t>
        </is>
      </c>
      <c r="F811" s="34" t="inlineStr">
        <is>
          <t>Neutral Throw, Up Throw, Down Throw, Spin Throw</t>
        </is>
      </c>
      <c r="G811" s="34" t="n"/>
      <c r="H811" s="34" t="n"/>
      <c r="I811" s="34" t="n"/>
      <c r="J811" s="16" t="n"/>
    </row>
    <row r="812">
      <c r="A812" s="43" t="n"/>
      <c r="B812" s="44" t="n"/>
      <c r="C812" s="43" t="n"/>
      <c r="D812" s="19" t="inlineStr">
        <is>
          <t>Other Required:</t>
        </is>
      </c>
      <c r="E812" s="35" t="inlineStr">
        <is>
          <t>None</t>
        </is>
      </c>
      <c r="F812" s="35" t="inlineStr">
        <is>
          <t>None</t>
        </is>
      </c>
      <c r="G812" s="35" t="n"/>
      <c r="H812" s="35" t="n"/>
      <c r="I812" s="35" t="n"/>
      <c r="J812" s="16" t="n"/>
    </row>
    <row r="813">
      <c r="A813" s="41" t="b">
        <v>1</v>
      </c>
      <c r="B813" s="31" t="inlineStr">
        <is>
          <t>Lake Kingdom: High-Flying Leap</t>
        </is>
      </c>
      <c r="C813" s="35" t="n"/>
      <c r="D813" s="12" t="inlineStr">
        <is>
          <t>Minimum Jump Height:</t>
        </is>
      </c>
      <c r="E813" s="34" t="inlineStr">
        <is>
          <t>Long Jump</t>
        </is>
      </c>
      <c r="F813" s="34" t="n"/>
      <c r="G813" s="34" t="n"/>
      <c r="H813" s="34" t="n"/>
      <c r="I813" s="34" t="n"/>
      <c r="J813" s="16" t="n"/>
    </row>
    <row r="814">
      <c r="B814" s="42" t="n"/>
      <c r="D814" s="12" t="inlineStr">
        <is>
          <t>Cap Throws that work:</t>
        </is>
      </c>
      <c r="E814" s="34" t="inlineStr">
        <is>
          <t>Neutral Throw, Up Throw, Down Throw, Spin Throw</t>
        </is>
      </c>
      <c r="F814" s="34" t="n"/>
      <c r="G814" s="34" t="n"/>
      <c r="H814" s="34" t="n"/>
      <c r="I814" s="34" t="n"/>
      <c r="J814" s="16" t="n"/>
    </row>
    <row r="815">
      <c r="A815" s="43" t="n"/>
      <c r="B815" s="44" t="n"/>
      <c r="C815" s="43" t="n"/>
      <c r="D815" s="19" t="inlineStr">
        <is>
          <t>Other Required:</t>
        </is>
      </c>
      <c r="E815" s="35" t="inlineStr">
        <is>
          <t>None</t>
        </is>
      </c>
      <c r="F815" s="35" t="n"/>
      <c r="G815" s="35" t="n"/>
      <c r="H815" s="35" t="n"/>
      <c r="I815" s="35" t="n"/>
      <c r="J815" s="16" t="n"/>
    </row>
    <row r="816">
      <c r="A816" s="41" t="b">
        <v>1</v>
      </c>
      <c r="B816" s="31" t="inlineStr">
        <is>
          <t>Lake Kingdom: Deep, Deep Down</t>
        </is>
      </c>
      <c r="C816" s="35" t="n"/>
      <c r="D816" s="12" t="inlineStr">
        <is>
          <t>Minimum Jump Height:</t>
        </is>
      </c>
      <c r="E816" s="34" t="inlineStr">
        <is>
          <t>Long Jump</t>
        </is>
      </c>
      <c r="F816" s="34" t="inlineStr">
        <is>
          <t>Single Jump (258)</t>
        </is>
      </c>
      <c r="G816" s="34" t="n"/>
      <c r="H816" s="34" t="n"/>
      <c r="I816" s="34" t="n"/>
      <c r="J816" s="16" t="n"/>
    </row>
    <row r="817">
      <c r="B817" s="42" t="n"/>
      <c r="D817" s="12" t="inlineStr">
        <is>
          <t>Cap Throws that work:</t>
        </is>
      </c>
      <c r="E817" s="34" t="inlineStr">
        <is>
          <t>Neutral Throw, Up Throw, Down Throw, Spin Throw</t>
        </is>
      </c>
      <c r="F817" s="34" t="inlineStr">
        <is>
          <t>No Cap Throw Needed</t>
        </is>
      </c>
      <c r="G817" s="34" t="n"/>
      <c r="H817" s="34" t="n"/>
      <c r="I817" s="34" t="n"/>
      <c r="J817" s="16" t="n"/>
    </row>
    <row r="818">
      <c r="A818" s="43" t="n"/>
      <c r="B818" s="44" t="n"/>
      <c r="C818" s="43" t="n"/>
      <c r="D818" s="19" t="inlineStr">
        <is>
          <t>Other Required:</t>
        </is>
      </c>
      <c r="E818" s="35" t="inlineStr">
        <is>
          <t>None</t>
        </is>
      </c>
      <c r="F818" s="35" t="inlineStr">
        <is>
          <t>None</t>
        </is>
      </c>
      <c r="G818" s="35" t="n"/>
      <c r="H818" s="35" t="n"/>
      <c r="I818" s="35" t="n"/>
      <c r="J818" s="16" t="n"/>
    </row>
    <row r="819">
      <c r="A819" s="41" t="b">
        <v>1</v>
      </c>
      <c r="B819" s="31" t="inlineStr">
        <is>
          <t>Lake Kingdom: Rooftop of the Water Plaza</t>
        </is>
      </c>
      <c r="C819" s="35" t="n"/>
      <c r="D819" s="12" t="inlineStr">
        <is>
          <t>Minimum Jump Height:</t>
        </is>
      </c>
      <c r="E819" s="34" t="inlineStr">
        <is>
          <t>Ground Pound Jump (514)</t>
        </is>
      </c>
      <c r="F819" s="34" t="inlineStr">
        <is>
          <t>Ground Pound Jump (514)</t>
        </is>
      </c>
      <c r="G819" s="34" t="n"/>
      <c r="H819" s="34" t="n"/>
      <c r="I819" s="34" t="n"/>
      <c r="J819" s="16" t="n"/>
    </row>
    <row r="820">
      <c r="B820" s="42" t="n"/>
      <c r="D820" s="12" t="inlineStr">
        <is>
          <t>Cap Throws that work:</t>
        </is>
      </c>
      <c r="E820" s="34" t="n"/>
      <c r="F820" s="34" t="n"/>
      <c r="G820" s="34" t="n"/>
      <c r="H820" s="34" t="n"/>
      <c r="I820" s="34" t="n"/>
      <c r="J820" s="16" t="n"/>
    </row>
    <row r="821">
      <c r="A821" s="43" t="n"/>
      <c r="B821" s="44" t="n"/>
      <c r="C821" s="43" t="n"/>
      <c r="D821" s="19" t="inlineStr">
        <is>
          <t>Other Required:</t>
        </is>
      </c>
      <c r="E821" s="35" t="inlineStr">
        <is>
          <t>Ground Pound</t>
        </is>
      </c>
      <c r="F821" s="35" t="inlineStr">
        <is>
          <t>Dive</t>
        </is>
      </c>
      <c r="G821" s="35" t="n"/>
      <c r="H821" s="35" t="n"/>
      <c r="I821" s="35" t="n"/>
      <c r="J821" s="16" t="n"/>
    </row>
    <row r="822">
      <c r="A822" s="41" t="b">
        <v>1</v>
      </c>
      <c r="B822" s="31" t="inlineStr">
        <is>
          <t>Lake Kingdom: Bird Traveling Over the Lake</t>
        </is>
      </c>
      <c r="C822" s="35" t="n"/>
      <c r="D822" s="12" t="inlineStr">
        <is>
          <t>Minimum Jump Height:</t>
        </is>
      </c>
      <c r="E822" s="34" t="n"/>
      <c r="F822" s="34" t="n"/>
      <c r="G822" s="34" t="n"/>
      <c r="H822" s="34" t="n"/>
      <c r="I822" s="34" t="n"/>
      <c r="J822" s="16" t="n"/>
    </row>
    <row r="823">
      <c r="B823" s="42" t="n"/>
      <c r="D823" s="12" t="inlineStr">
        <is>
          <t>Cap Throws that work:</t>
        </is>
      </c>
      <c r="E823" s="34" t="inlineStr">
        <is>
          <t>Up Throw</t>
        </is>
      </c>
      <c r="F823" s="34" t="n"/>
      <c r="G823" s="34" t="n"/>
      <c r="H823" s="34" t="n"/>
      <c r="I823" s="34" t="n"/>
      <c r="J823" s="16" t="n"/>
    </row>
    <row r="824">
      <c r="A824" s="43" t="n"/>
      <c r="B824" s="44" t="n"/>
      <c r="C824" s="43" t="n"/>
      <c r="D824" s="19" t="inlineStr">
        <is>
          <t>Other Required:</t>
        </is>
      </c>
      <c r="E824" s="35" t="n"/>
      <c r="F824" s="35" t="n"/>
      <c r="G824" s="35" t="n"/>
      <c r="H824" s="35" t="n"/>
      <c r="I824" s="35" t="n"/>
      <c r="J824" s="16" t="n"/>
    </row>
    <row r="825">
      <c r="A825" s="41" t="b">
        <v>1</v>
      </c>
      <c r="B825" s="31" t="inlineStr">
        <is>
          <t>Lake Kingdom: Love by the Lake</t>
        </is>
      </c>
      <c r="C825" s="35" t="inlineStr">
        <is>
          <t>Goomba</t>
        </is>
      </c>
      <c r="D825" s="12" t="inlineStr">
        <is>
          <t>Minimum Jump Height:</t>
        </is>
      </c>
      <c r="E825" s="34" t="inlineStr">
        <is>
          <t>Long Jump</t>
        </is>
      </c>
      <c r="F825" s="34" t="n"/>
      <c r="G825" s="34" t="n"/>
      <c r="H825" s="34" t="n"/>
      <c r="I825" s="34" t="n"/>
      <c r="J825" s="16" t="n"/>
    </row>
    <row r="826">
      <c r="B826" s="42" t="n"/>
      <c r="D826" s="12" t="inlineStr">
        <is>
          <t>Cap Throws that work:</t>
        </is>
      </c>
      <c r="E826" s="34" t="inlineStr">
        <is>
          <t>Neutral Throw, Up Throw, Down Throw, Spin Throw</t>
        </is>
      </c>
      <c r="F826" s="34" t="n"/>
      <c r="G826" s="34" t="n"/>
      <c r="H826" s="34" t="n"/>
      <c r="I826" s="34" t="n"/>
      <c r="J826" s="16" t="n"/>
    </row>
    <row r="827">
      <c r="A827" s="43" t="n"/>
      <c r="B827" s="44" t="n"/>
      <c r="C827" s="43" t="n"/>
      <c r="D827" s="19" t="inlineStr">
        <is>
          <t>Other Required:</t>
        </is>
      </c>
      <c r="E827" s="35" t="inlineStr">
        <is>
          <t>Capture</t>
        </is>
      </c>
      <c r="F827" s="35" t="n"/>
      <c r="G827" s="35" t="n"/>
      <c r="H827" s="35" t="n"/>
      <c r="I827" s="35" t="n"/>
      <c r="J827" s="16" t="n"/>
    </row>
    <row r="828">
      <c r="A828" s="41" t="b">
        <v>1</v>
      </c>
      <c r="B828" s="31" t="inlineStr">
        <is>
          <t>Lake Kingdom: Lake Kingdom Master Cup</t>
        </is>
      </c>
      <c r="C828" s="35" t="n"/>
      <c r="D828" s="12" t="inlineStr">
        <is>
          <t>Minimum Jump Height:</t>
        </is>
      </c>
      <c r="E828" s="34" t="inlineStr">
        <is>
          <t>Single Jump (258)</t>
        </is>
      </c>
      <c r="F828" s="34" t="inlineStr">
        <is>
          <t>Backflip/Vault/Side Flip (496)</t>
        </is>
      </c>
      <c r="G828" s="34" t="n"/>
      <c r="H828" s="34" t="n"/>
      <c r="I828" s="34" t="n"/>
      <c r="J828" s="16" t="n"/>
    </row>
    <row r="829">
      <c r="B829" s="42" t="n"/>
      <c r="D829" s="12" t="inlineStr">
        <is>
          <t>Cap Throws that work:</t>
        </is>
      </c>
      <c r="E829" s="34" t="inlineStr">
        <is>
          <t>Neutral Throw, Up Throw, Down Throw, Spin Throw</t>
        </is>
      </c>
      <c r="F829" s="34" t="inlineStr">
        <is>
          <t>Neutral Throw, Up Throw, Down Throw, Spin Throw</t>
        </is>
      </c>
      <c r="G829" s="34" t="n"/>
      <c r="H829" s="34" t="n"/>
      <c r="I829" s="34" t="n"/>
      <c r="J829" s="16" t="n"/>
    </row>
    <row r="830">
      <c r="A830" s="43" t="n"/>
      <c r="B830" s="44" t="n"/>
      <c r="C830" s="43" t="n"/>
      <c r="D830" s="19" t="inlineStr">
        <is>
          <t>Other Required:</t>
        </is>
      </c>
      <c r="E830" s="35" t="inlineStr">
        <is>
          <t>Dive, Wall Slide</t>
        </is>
      </c>
      <c r="F830" s="35" t="inlineStr">
        <is>
          <t>Dive</t>
        </is>
      </c>
      <c r="G830" s="35" t="n"/>
      <c r="H830" s="35" t="n"/>
      <c r="I830" s="35" t="n"/>
      <c r="J830" s="16" t="n"/>
    </row>
    <row r="831">
      <c r="A831" s="41" t="b">
        <v>1</v>
      </c>
      <c r="B831" s="31" t="inlineStr">
        <is>
          <t>Waves of Poison: Waves of Poison: Hoppin' Over</t>
        </is>
      </c>
      <c r="C831" s="35" t="inlineStr">
        <is>
          <t>Frog</t>
        </is>
      </c>
      <c r="D831" s="12" t="inlineStr">
        <is>
          <t>Minimum Jump Height:</t>
        </is>
      </c>
      <c r="E831" s="34" t="inlineStr">
        <is>
          <t>Backflip/Vault/Side Flip (496)</t>
        </is>
      </c>
      <c r="F831" s="34" t="inlineStr">
        <is>
          <t>Single Jump (258)</t>
        </is>
      </c>
      <c r="G831" s="34" t="n"/>
      <c r="H831" s="34" t="n"/>
      <c r="I831" s="34" t="n"/>
      <c r="J831" s="16" t="n"/>
    </row>
    <row r="832">
      <c r="B832" s="42" t="n"/>
      <c r="D832" s="12" t="inlineStr">
        <is>
          <t>Cap Throws that work:</t>
        </is>
      </c>
      <c r="E832" s="34" t="inlineStr">
        <is>
          <t>No Cap Throw Needed</t>
        </is>
      </c>
      <c r="F832" s="34" t="inlineStr">
        <is>
          <t>Up Throw, Down Throw, Neutral Throw, Spin Throw</t>
        </is>
      </c>
      <c r="G832" s="34" t="n"/>
      <c r="H832" s="34" t="n"/>
      <c r="I832" s="34" t="n"/>
      <c r="J832" s="16" t="n"/>
    </row>
    <row r="833">
      <c r="A833" s="43" t="n"/>
      <c r="B833" s="44" t="n"/>
      <c r="C833" s="43" t="n"/>
      <c r="D833" s="19" t="inlineStr">
        <is>
          <t>Other Required:</t>
        </is>
      </c>
      <c r="E833" s="35" t="inlineStr">
        <is>
          <t>Dive, Wall Slide</t>
        </is>
      </c>
      <c r="F833" s="35" t="inlineStr">
        <is>
          <t>Capture</t>
        </is>
      </c>
      <c r="G833" s="35" t="n"/>
      <c r="H833" s="35" t="n"/>
      <c r="I833" s="35" t="n"/>
      <c r="J833" s="16" t="n"/>
    </row>
    <row r="834">
      <c r="A834" s="41" t="b">
        <v>1</v>
      </c>
      <c r="B834" s="31" t="inlineStr">
        <is>
          <t>Waves of Poison: Waves of Poison: Hop to It!</t>
        </is>
      </c>
      <c r="C834" s="35" t="inlineStr">
        <is>
          <t>Frog</t>
        </is>
      </c>
      <c r="D834" s="12" t="inlineStr">
        <is>
          <t>Minimum Jump Height:</t>
        </is>
      </c>
      <c r="E834" s="34" t="inlineStr">
        <is>
          <t>Backflip/Vault/Side Flip (496)</t>
        </is>
      </c>
      <c r="F834" s="34" t="inlineStr">
        <is>
          <t>Single Jump (258)</t>
        </is>
      </c>
      <c r="G834" s="34" t="n"/>
      <c r="H834" s="34" t="n"/>
      <c r="I834" s="34" t="n"/>
      <c r="J834" s="16" t="n"/>
    </row>
    <row r="835">
      <c r="B835" s="42" t="n"/>
      <c r="D835" s="12" t="inlineStr">
        <is>
          <t>Cap Throws that work:</t>
        </is>
      </c>
      <c r="E835" s="34" t="inlineStr">
        <is>
          <t>No Cap Throw Needed</t>
        </is>
      </c>
      <c r="F835" s="34" t="inlineStr">
        <is>
          <t>Neutral Throw, Up Throw, Down Throw, Spin Throw</t>
        </is>
      </c>
      <c r="G835" s="34" t="n"/>
      <c r="H835" s="34" t="n"/>
      <c r="I835" s="34" t="n"/>
      <c r="J835" s="16" t="n"/>
    </row>
    <row r="836">
      <c r="A836" s="43" t="n"/>
      <c r="B836" s="44" t="n"/>
      <c r="C836" s="43" t="n"/>
      <c r="D836" s="19" t="inlineStr">
        <is>
          <t>Other Required:</t>
        </is>
      </c>
      <c r="E836" s="35" t="inlineStr">
        <is>
          <t>Dive</t>
        </is>
      </c>
      <c r="F836" s="35" t="inlineStr">
        <is>
          <t>Capture</t>
        </is>
      </c>
      <c r="G836" s="35" t="n"/>
      <c r="H836" s="35" t="n"/>
      <c r="I836" s="35" t="n"/>
      <c r="J836" s="16" t="n"/>
    </row>
    <row r="837">
      <c r="A837" s="41" t="b">
        <v>1</v>
      </c>
      <c r="B837" s="31" t="inlineStr">
        <is>
          <t>Picture Match (Goomba): Picture Match: Basically a Goomba</t>
        </is>
      </c>
      <c r="C837" s="35" t="inlineStr">
        <is>
          <t>Picture Match Part (Goomba)</t>
        </is>
      </c>
      <c r="D837" s="12" t="inlineStr">
        <is>
          <t>Minimum Jump Height:</t>
        </is>
      </c>
      <c r="E837" s="34" t="inlineStr">
        <is>
          <t>Single Jump (258)</t>
        </is>
      </c>
      <c r="F837" s="34" t="n"/>
      <c r="G837" s="34" t="n"/>
      <c r="H837" s="34" t="n"/>
      <c r="I837" s="34" t="n"/>
      <c r="J837" s="16" t="n"/>
    </row>
    <row r="838">
      <c r="B838" s="42" t="n"/>
      <c r="D838" s="12" t="inlineStr">
        <is>
          <t>Cap Throws that work:</t>
        </is>
      </c>
      <c r="E838" s="34" t="inlineStr">
        <is>
          <t>Neutral Throw, Down Throw, Spin Throw</t>
        </is>
      </c>
      <c r="F838" s="34" t="n"/>
      <c r="G838" s="34" t="n"/>
      <c r="H838" s="34" t="n"/>
      <c r="I838" s="34" t="n"/>
      <c r="J838" s="16" t="n"/>
    </row>
    <row r="839">
      <c r="A839" s="43" t="n"/>
      <c r="B839" s="44" t="n"/>
      <c r="C839" s="43" t="n"/>
      <c r="D839" s="19" t="inlineStr">
        <is>
          <t>Other Required:</t>
        </is>
      </c>
      <c r="E839" s="35" t="inlineStr">
        <is>
          <t>Crouch, Capture</t>
        </is>
      </c>
      <c r="F839" s="35" t="n"/>
      <c r="G839" s="35" t="n"/>
      <c r="H839" s="35" t="n"/>
      <c r="I839" s="35" t="n"/>
      <c r="J839" s="16" t="n"/>
    </row>
    <row r="840">
      <c r="A840" s="41" t="b">
        <v>1</v>
      </c>
      <c r="B840" s="31" t="inlineStr">
        <is>
          <t>Cloud Kingdom: Peach in the Cloud Kingdom</t>
        </is>
      </c>
      <c r="C840" s="35" t="n"/>
      <c r="D840" s="12" t="inlineStr">
        <is>
          <t>Minimum Jump Height:</t>
        </is>
      </c>
      <c r="E840" s="34" t="inlineStr">
        <is>
          <t>Single Jump (258)</t>
        </is>
      </c>
      <c r="F840" s="34" t="n"/>
      <c r="G840" s="34" t="n"/>
      <c r="H840" s="34" t="n"/>
      <c r="I840" s="34" t="n"/>
      <c r="J840" s="16" t="n"/>
    </row>
    <row r="841">
      <c r="B841" s="42" t="n"/>
      <c r="D841" s="12" t="inlineStr">
        <is>
          <t>Cap Throws that work:</t>
        </is>
      </c>
      <c r="E841" s="34" t="inlineStr">
        <is>
          <t>Spin Throw, Neutral Throw</t>
        </is>
      </c>
      <c r="F841" s="34" t="n"/>
      <c r="G841" s="34" t="n"/>
      <c r="H841" s="34" t="n"/>
      <c r="I841" s="34" t="n"/>
      <c r="J841" s="16" t="n"/>
    </row>
    <row r="842">
      <c r="A842" s="43" t="n"/>
      <c r="B842" s="44" t="n"/>
      <c r="C842" s="43" t="n"/>
      <c r="D842" s="19" t="inlineStr">
        <is>
          <t>Other Required:</t>
        </is>
      </c>
      <c r="E842" s="35" t="n"/>
      <c r="F842" s="35" t="n"/>
      <c r="G842" s="35" t="n"/>
      <c r="H842" s="35" t="n"/>
      <c r="I842" s="35" t="n"/>
      <c r="J842" s="16" t="n"/>
    </row>
    <row r="843">
      <c r="A843" s="41" t="b">
        <v>1</v>
      </c>
      <c r="B843" s="31" t="inlineStr">
        <is>
          <t>Cloud Kingdom: Digging in the...Cloud?</t>
        </is>
      </c>
      <c r="C843" s="35" t="n"/>
      <c r="D843" s="12" t="inlineStr">
        <is>
          <t>Minimum Jump Height:</t>
        </is>
      </c>
      <c r="E843" s="34" t="inlineStr">
        <is>
          <t>Ground Pound Jump (514)</t>
        </is>
      </c>
      <c r="F843" s="34" t="n"/>
      <c r="G843" s="34" t="n"/>
      <c r="H843" s="34" t="n"/>
      <c r="I843" s="34" t="n"/>
      <c r="J843" s="16" t="n"/>
    </row>
    <row r="844">
      <c r="B844" s="42" t="n"/>
      <c r="D844" s="12" t="inlineStr">
        <is>
          <t>Cap Throws that work:</t>
        </is>
      </c>
      <c r="E844" s="34" t="inlineStr">
        <is>
          <t>No Cap Throw Needed</t>
        </is>
      </c>
      <c r="F844" s="34" t="n"/>
      <c r="G844" s="34" t="n"/>
      <c r="H844" s="34" t="n"/>
      <c r="I844" s="34" t="n"/>
      <c r="J844" s="16" t="n"/>
    </row>
    <row r="845">
      <c r="A845" s="43" t="n"/>
      <c r="B845" s="44" t="n"/>
      <c r="C845" s="43" t="n"/>
      <c r="D845" s="19" t="inlineStr">
        <is>
          <t>Other Required:</t>
        </is>
      </c>
      <c r="E845" s="35" t="inlineStr">
        <is>
          <t>Ground Pound</t>
        </is>
      </c>
      <c r="F845" s="35" t="n"/>
      <c r="G845" s="35" t="n"/>
      <c r="H845" s="35" t="n"/>
      <c r="I845" s="35" t="n"/>
      <c r="J845" s="16" t="n"/>
    </row>
    <row r="846">
      <c r="A846" s="41" t="b">
        <v>1</v>
      </c>
      <c r="B846" s="31" t="inlineStr">
        <is>
          <t>Cloud Kingdom: High, High Above the Clouds</t>
        </is>
      </c>
      <c r="C846" s="35" t="n"/>
      <c r="D846" s="12" t="inlineStr">
        <is>
          <t>Minimum Jump Height:</t>
        </is>
      </c>
      <c r="E846" s="34" t="inlineStr">
        <is>
          <t>Single Jump (258)</t>
        </is>
      </c>
      <c r="F846" s="34" t="n"/>
      <c r="G846" s="34" t="n"/>
      <c r="H846" s="34" t="n"/>
      <c r="I846" s="34" t="n"/>
      <c r="J846" s="16" t="n"/>
    </row>
    <row r="847">
      <c r="B847" s="42" t="n"/>
      <c r="D847" s="12" t="inlineStr">
        <is>
          <t>Cap Throws that work:</t>
        </is>
      </c>
      <c r="E847" s="34" t="inlineStr">
        <is>
          <t>Neutral Throw, Up Throw, Down Throw, Spin Throw</t>
        </is>
      </c>
      <c r="F847" s="34" t="n"/>
      <c r="G847" s="34" t="n"/>
      <c r="H847" s="34" t="n"/>
      <c r="I847" s="34" t="n"/>
      <c r="J847" s="16" t="n"/>
    </row>
    <row r="848">
      <c r="A848" s="43" t="n"/>
      <c r="B848" s="44" t="n"/>
      <c r="C848" s="43" t="n"/>
      <c r="D848" s="19" t="inlineStr">
        <is>
          <t>Other Required:</t>
        </is>
      </c>
      <c r="E848" s="35" t="inlineStr">
        <is>
          <t>Ground Pound</t>
        </is>
      </c>
      <c r="F848" s="35" t="n"/>
      <c r="G848" s="35" t="n"/>
      <c r="H848" s="35" t="n"/>
      <c r="I848" s="35" t="n"/>
      <c r="J848" s="16" t="n"/>
    </row>
    <row r="849">
      <c r="A849" s="41" t="b">
        <v>1</v>
      </c>
      <c r="B849" s="31" t="inlineStr">
        <is>
          <t>Cloud Kingdom: Crossing the Cloud Sea</t>
        </is>
      </c>
      <c r="C849" s="35" t="n"/>
      <c r="D849" s="12" t="inlineStr">
        <is>
          <t>Minimum Jump Height:</t>
        </is>
      </c>
      <c r="E849" s="34" t="inlineStr">
        <is>
          <t>Single Jump (258)</t>
        </is>
      </c>
      <c r="F849" s="34" t="inlineStr">
        <is>
          <t>Cap Return Jump (400)</t>
        </is>
      </c>
      <c r="G849" s="34" t="n"/>
      <c r="H849" s="34" t="n"/>
      <c r="I849" s="34" t="n"/>
      <c r="J849" s="16" t="n"/>
    </row>
    <row r="850">
      <c r="B850" s="42" t="n"/>
      <c r="D850" s="12" t="inlineStr">
        <is>
          <t>Cap Throws that work:</t>
        </is>
      </c>
      <c r="E850" s="34" t="inlineStr">
        <is>
          <t>Neutral Throw</t>
        </is>
      </c>
      <c r="F850" s="34" t="inlineStr">
        <is>
          <t>Neutral Throw</t>
        </is>
      </c>
      <c r="G850" s="34" t="n"/>
      <c r="H850" s="34" t="n"/>
      <c r="I850" s="34" t="n"/>
      <c r="J850" s="16" t="n"/>
    </row>
    <row r="851">
      <c r="A851" s="43" t="n"/>
      <c r="B851" s="44" t="n"/>
      <c r="C851" s="43" t="n"/>
      <c r="D851" s="19" t="inlineStr">
        <is>
          <t>Other Required:</t>
        </is>
      </c>
      <c r="E851" s="35" t="inlineStr">
        <is>
          <t>None</t>
        </is>
      </c>
      <c r="F851" s="35" t="inlineStr">
        <is>
          <t>Dive</t>
        </is>
      </c>
      <c r="G851" s="35" t="n"/>
      <c r="H851" s="35" t="n"/>
      <c r="I851" s="35" t="n"/>
      <c r="J851" s="16" t="n"/>
    </row>
    <row r="852">
      <c r="A852" s="41" t="b">
        <v>1</v>
      </c>
      <c r="B852" s="31" t="inlineStr">
        <is>
          <t>Cloud Kingdom: Taking Notes: Up and Down</t>
        </is>
      </c>
      <c r="C852" s="35" t="n"/>
      <c r="D852" s="12" t="inlineStr">
        <is>
          <t>Minimum Jump Height:</t>
        </is>
      </c>
      <c r="E852" s="34" t="inlineStr">
        <is>
          <t>Single Jump (258)</t>
        </is>
      </c>
      <c r="F852" s="34" t="n"/>
      <c r="G852" s="34" t="n"/>
      <c r="H852" s="34" t="n"/>
      <c r="I852" s="34" t="n"/>
      <c r="J852" s="16" t="n"/>
    </row>
    <row r="853">
      <c r="B853" s="42" t="n"/>
      <c r="D853" s="12" t="inlineStr">
        <is>
          <t>Cap Throws that work:</t>
        </is>
      </c>
      <c r="E853" s="34" t="inlineStr">
        <is>
          <t>Neutral Throw</t>
        </is>
      </c>
      <c r="F853" s="34" t="n"/>
      <c r="G853" s="34" t="n"/>
      <c r="H853" s="34" t="n"/>
      <c r="I853" s="34" t="n"/>
      <c r="J853" s="16" t="n"/>
    </row>
    <row r="854">
      <c r="A854" s="43" t="n"/>
      <c r="B854" s="44" t="n"/>
      <c r="C854" s="43" t="n"/>
      <c r="D854" s="19" t="inlineStr">
        <is>
          <t>Other Required:</t>
        </is>
      </c>
      <c r="E854" s="35" t="inlineStr">
        <is>
          <t>Ground Pound</t>
        </is>
      </c>
      <c r="F854" s="35" t="n"/>
      <c r="G854" s="35" t="n"/>
      <c r="H854" s="35" t="n"/>
      <c r="I854" s="35" t="n"/>
      <c r="J854" s="16" t="n"/>
    </row>
    <row r="855">
      <c r="A855" s="41" t="b">
        <v>1</v>
      </c>
      <c r="B855" s="31" t="inlineStr">
        <is>
          <t>Picture Match (Goomba): Picture Match: A Stellar Goomba!</t>
        </is>
      </c>
      <c r="C855" s="35" t="inlineStr">
        <is>
          <t>Picture Match Part (Goomba)</t>
        </is>
      </c>
      <c r="D855" s="12" t="inlineStr">
        <is>
          <t>Minimum Jump Height:</t>
        </is>
      </c>
      <c r="E855" s="34" t="inlineStr">
        <is>
          <t>Single Jump (258)</t>
        </is>
      </c>
      <c r="F855" s="34" t="n"/>
      <c r="G855" s="34" t="n"/>
      <c r="H855" s="34" t="n"/>
      <c r="I855" s="34" t="n"/>
      <c r="J855" s="16" t="n"/>
    </row>
    <row r="856">
      <c r="B856" s="42" t="n"/>
      <c r="D856" s="12" t="inlineStr">
        <is>
          <t>Cap Throws that work:</t>
        </is>
      </c>
      <c r="E856" s="34" t="inlineStr">
        <is>
          <t>Neutral Throw, Down Throw, Spin Throw</t>
        </is>
      </c>
      <c r="F856" s="34" t="n"/>
      <c r="G856" s="34" t="n"/>
      <c r="H856" s="34" t="n"/>
      <c r="I856" s="34" t="n"/>
      <c r="J856" s="16" t="n"/>
    </row>
    <row r="857">
      <c r="A857" s="43" t="n"/>
      <c r="B857" s="44" t="n"/>
      <c r="C857" s="43" t="n"/>
      <c r="D857" s="19" t="inlineStr">
        <is>
          <t>Other Required:</t>
        </is>
      </c>
      <c r="E857" s="35" t="inlineStr">
        <is>
          <t>Crouch, Capture</t>
        </is>
      </c>
      <c r="F857" s="35" t="n"/>
      <c r="G857" s="35" t="n"/>
      <c r="H857" s="35" t="n"/>
      <c r="I857" s="35" t="n"/>
      <c r="J857" s="16" t="n"/>
    </row>
    <row r="858">
      <c r="A858" s="41" t="b">
        <v>1</v>
      </c>
      <c r="B858" s="31" t="inlineStr">
        <is>
          <t>2D Cube: King of the Cube!</t>
        </is>
      </c>
      <c r="C858" s="35" t="n"/>
      <c r="D858" s="12" t="inlineStr">
        <is>
          <t>Minimum Jump Height:</t>
        </is>
      </c>
      <c r="E858" s="34" t="inlineStr">
        <is>
          <t>Single Jump (258)</t>
        </is>
      </c>
      <c r="F858" s="34" t="n"/>
      <c r="G858" s="34" t="n"/>
      <c r="H858" s="34" t="n"/>
      <c r="I858" s="34" t="n"/>
      <c r="J858" s="16" t="n"/>
    </row>
    <row r="859">
      <c r="B859" s="42" t="n"/>
      <c r="D859" s="12" t="inlineStr">
        <is>
          <t>Cap Throws that work:</t>
        </is>
      </c>
      <c r="E859" s="34" t="inlineStr">
        <is>
          <t>No Cap Throw Needed</t>
        </is>
      </c>
      <c r="F859" s="34" t="n"/>
      <c r="G859" s="34" t="n"/>
      <c r="H859" s="34" t="n"/>
      <c r="I859" s="34" t="n"/>
      <c r="J859" s="16" t="n"/>
    </row>
    <row r="860">
      <c r="A860" s="43" t="n"/>
      <c r="B860" s="44" t="n"/>
      <c r="C860" s="43" t="n"/>
      <c r="D860" s="19" t="inlineStr">
        <is>
          <t>Other Required:</t>
        </is>
      </c>
      <c r="E860" s="35" t="inlineStr">
        <is>
          <t>Crouch</t>
        </is>
      </c>
      <c r="F860" s="35" t="n"/>
      <c r="G860" s="35" t="n"/>
      <c r="H860" s="35" t="n"/>
      <c r="I860" s="35" t="n"/>
      <c r="J860" s="16" t="n"/>
    </row>
    <row r="861">
      <c r="A861" s="41" t="b">
        <v>1</v>
      </c>
      <c r="B861" s="31" t="inlineStr">
        <is>
          <t>2D Cube: The Sixth Face</t>
        </is>
      </c>
      <c r="C861" s="35" t="n"/>
      <c r="D861" s="12" t="inlineStr">
        <is>
          <t>Minimum Jump Height:</t>
        </is>
      </c>
      <c r="E861" s="34" t="inlineStr">
        <is>
          <t>Single Jump (258)</t>
        </is>
      </c>
      <c r="F861" s="34" t="n"/>
      <c r="G861" s="34" t="n"/>
      <c r="H861" s="34" t="n"/>
      <c r="I861" s="34" t="n"/>
      <c r="J861" s="16" t="n"/>
    </row>
    <row r="862">
      <c r="B862" s="42" t="n"/>
      <c r="D862" s="12" t="inlineStr">
        <is>
          <t>Cap Throws that work:</t>
        </is>
      </c>
      <c r="E862" s="34" t="inlineStr">
        <is>
          <t>No Cap Throw Needed</t>
        </is>
      </c>
      <c r="F862" s="34" t="n"/>
      <c r="G862" s="34" t="n"/>
      <c r="H862" s="34" t="n"/>
      <c r="I862" s="34" t="n"/>
      <c r="J862" s="16" t="n"/>
    </row>
    <row r="863">
      <c r="A863" s="43" t="n"/>
      <c r="B863" s="44" t="n"/>
      <c r="C863" s="43" t="n"/>
      <c r="D863" s="19" t="inlineStr">
        <is>
          <t>Other Required:</t>
        </is>
      </c>
      <c r="E863" s="35" t="inlineStr">
        <is>
          <t>Crouch</t>
        </is>
      </c>
      <c r="F863" s="35" t="n"/>
      <c r="G863" s="35" t="n"/>
      <c r="H863" s="35" t="n"/>
      <c r="I863" s="35" t="n"/>
      <c r="J863" s="16" t="n"/>
    </row>
    <row r="864">
      <c r="A864" s="41" t="b">
        <v>1</v>
      </c>
      <c r="B864" s="31" t="inlineStr">
        <is>
          <t>Lost Kingdom: Atop a Propeller Pillar</t>
        </is>
      </c>
      <c r="C864" s="35" t="n"/>
      <c r="D864" s="12" t="inlineStr">
        <is>
          <t>Minimum Jump Height:</t>
        </is>
      </c>
      <c r="E864" s="34" t="inlineStr">
        <is>
          <t>Single Jump (258)</t>
        </is>
      </c>
      <c r="F864" s="34" t="n"/>
      <c r="G864" s="34" t="n"/>
      <c r="H864" s="34" t="n"/>
      <c r="I864" s="34" t="n"/>
      <c r="J864" s="16" t="n"/>
    </row>
    <row r="865">
      <c r="B865" s="42" t="n"/>
      <c r="D865" s="12" t="inlineStr">
        <is>
          <t>Cap Throws that work:</t>
        </is>
      </c>
      <c r="E865" s="34" t="inlineStr">
        <is>
          <t>Neutral Throw, Up Throw, Down Throw, Spin Throw</t>
        </is>
      </c>
      <c r="F865" s="34" t="n"/>
      <c r="G865" s="34" t="n"/>
      <c r="H865" s="34" t="n"/>
      <c r="I865" s="34" t="n"/>
      <c r="J865" s="16" t="n"/>
    </row>
    <row r="866">
      <c r="A866" s="43" t="n"/>
      <c r="B866" s="44" t="n"/>
      <c r="C866" s="43" t="n"/>
      <c r="D866" s="19" t="inlineStr">
        <is>
          <t>Other Required:</t>
        </is>
      </c>
      <c r="E866" s="35" t="inlineStr">
        <is>
          <t>Ground Pound</t>
        </is>
      </c>
      <c r="F866" s="35" t="n"/>
      <c r="G866" s="35" t="n"/>
      <c r="H866" s="35" t="n"/>
      <c r="I866" s="35" t="n"/>
      <c r="J866" s="16" t="n"/>
    </row>
    <row r="867">
      <c r="A867" s="41" t="b">
        <v>1</v>
      </c>
      <c r="B867" s="31" t="inlineStr">
        <is>
          <t>Lost Kingdom: Below the Cliff's Edge</t>
        </is>
      </c>
      <c r="C867" s="35" t="n"/>
      <c r="D867" s="12" t="inlineStr">
        <is>
          <t>Minimum Jump Height:</t>
        </is>
      </c>
      <c r="E867" s="34" t="inlineStr">
        <is>
          <t>Single Jump (258)</t>
        </is>
      </c>
      <c r="F867" s="34" t="n"/>
      <c r="G867" s="34" t="n"/>
      <c r="H867" s="34" t="n"/>
      <c r="I867" s="34" t="n"/>
      <c r="J867" s="16" t="n"/>
    </row>
    <row r="868">
      <c r="B868" s="42" t="n"/>
      <c r="D868" s="12" t="inlineStr">
        <is>
          <t>Cap Throws that work:</t>
        </is>
      </c>
      <c r="E868" s="34" t="inlineStr">
        <is>
          <t>No Cap Throw Needed</t>
        </is>
      </c>
      <c r="F868" s="34" t="n"/>
      <c r="G868" s="34" t="n"/>
      <c r="H868" s="34" t="n"/>
      <c r="I868" s="34" t="n"/>
      <c r="J868" s="16" t="n"/>
    </row>
    <row r="869">
      <c r="A869" s="43" t="n"/>
      <c r="B869" s="44" t="n"/>
      <c r="C869" s="43" t="n"/>
      <c r="D869" s="19" t="inlineStr">
        <is>
          <t>Other Required:</t>
        </is>
      </c>
      <c r="E869" s="35" t="inlineStr">
        <is>
          <t>None</t>
        </is>
      </c>
      <c r="F869" s="35" t="n"/>
      <c r="G869" s="35" t="n"/>
      <c r="H869" s="35" t="n"/>
      <c r="I869" s="35" t="n"/>
      <c r="J869" s="16" t="n"/>
    </row>
    <row r="870">
      <c r="A870" s="41" t="b">
        <v>1</v>
      </c>
      <c r="B870" s="31" t="inlineStr">
        <is>
          <t>Lost Kingdom: Inside the Stone Cage</t>
        </is>
      </c>
      <c r="C870" s="35" t="n"/>
      <c r="D870" s="12" t="inlineStr">
        <is>
          <t>Minimum Jump Height:</t>
        </is>
      </c>
      <c r="E870" s="34" t="inlineStr">
        <is>
          <t>Single Jump (258)</t>
        </is>
      </c>
      <c r="F870" s="34" t="n"/>
      <c r="G870" s="34" t="n"/>
      <c r="H870" s="34" t="n"/>
      <c r="I870" s="34" t="n"/>
      <c r="J870" s="16" t="n"/>
    </row>
    <row r="871">
      <c r="B871" s="42" t="n"/>
      <c r="D871" s="12" t="inlineStr">
        <is>
          <t>Cap Throws that work:</t>
        </is>
      </c>
      <c r="E871" s="34" t="inlineStr">
        <is>
          <t>No Cap Throw Needed</t>
        </is>
      </c>
      <c r="F871" s="34" t="n"/>
      <c r="G871" s="34" t="n"/>
      <c r="H871" s="34" t="n"/>
      <c r="I871" s="34" t="n"/>
      <c r="J871" s="16" t="n"/>
    </row>
    <row r="872">
      <c r="A872" s="43" t="n"/>
      <c r="B872" s="44" t="n"/>
      <c r="C872" s="43" t="n"/>
      <c r="D872" s="19" t="inlineStr">
        <is>
          <t>Other Required:</t>
        </is>
      </c>
      <c r="E872" s="35" t="inlineStr">
        <is>
          <t>Ground Pound</t>
        </is>
      </c>
      <c r="F872" s="35" t="n"/>
      <c r="G872" s="35" t="n"/>
      <c r="H872" s="35" t="n"/>
      <c r="I872" s="35" t="n"/>
      <c r="J872" s="16" t="n"/>
    </row>
    <row r="873">
      <c r="A873" s="41" t="b">
        <v>1</v>
      </c>
      <c r="B873" s="31" t="inlineStr">
        <is>
          <t>Lost Kingdom: On a Tree in the Swamp</t>
        </is>
      </c>
      <c r="C873" s="35" t="n"/>
      <c r="D873" s="12" t="inlineStr">
        <is>
          <t>Minimum Jump Height:</t>
        </is>
      </c>
      <c r="E873" s="34" t="inlineStr">
        <is>
          <t>Single Jump (258)</t>
        </is>
      </c>
      <c r="F873" s="34" t="n"/>
      <c r="G873" s="34" t="n"/>
      <c r="H873" s="34" t="n"/>
      <c r="I873" s="34" t="n"/>
      <c r="J873" s="16" t="n"/>
    </row>
    <row r="874">
      <c r="B874" s="42" t="n"/>
      <c r="D874" s="12" t="inlineStr">
        <is>
          <t>Cap Throws that work:</t>
        </is>
      </c>
      <c r="E874" s="34" t="inlineStr">
        <is>
          <t>Neutral Throw, Up Throw, Down Throw, Spin Throw</t>
        </is>
      </c>
      <c r="F874" s="34" t="n"/>
      <c r="G874" s="34" t="n"/>
      <c r="H874" s="34" t="n"/>
      <c r="I874" s="34" t="n"/>
      <c r="J874" s="16" t="n"/>
    </row>
    <row r="875">
      <c r="A875" s="43" t="n"/>
      <c r="B875" s="44" t="n"/>
      <c r="C875" s="43" t="n"/>
      <c r="D875" s="19" t="inlineStr">
        <is>
          <t>Other Required:</t>
        </is>
      </c>
      <c r="E875" s="35" t="inlineStr">
        <is>
          <t>Ground Pound</t>
        </is>
      </c>
      <c r="F875" s="35" t="n"/>
      <c r="G875" s="35" t="n"/>
      <c r="H875" s="35" t="n"/>
      <c r="I875" s="35" t="n"/>
      <c r="J875" s="16" t="n"/>
    </row>
    <row r="876">
      <c r="A876" s="41" t="b">
        <v>1</v>
      </c>
      <c r="B876" s="31" t="inlineStr">
        <is>
          <t>Lost Kingdom: Over the Fuzzies, Above the Swamp</t>
        </is>
      </c>
      <c r="C876" s="35" t="n"/>
      <c r="D876" s="12" t="inlineStr">
        <is>
          <t>Minimum Jump Height:</t>
        </is>
      </c>
      <c r="E876" s="34" t="inlineStr">
        <is>
          <t>Single Jump (258)</t>
        </is>
      </c>
      <c r="F876" s="34" t="n"/>
      <c r="G876" s="34" t="n"/>
      <c r="H876" s="34" t="n"/>
      <c r="I876" s="34" t="n"/>
      <c r="J876" s="16" t="n"/>
    </row>
    <row r="877">
      <c r="B877" s="42" t="n"/>
      <c r="D877" s="12" t="inlineStr">
        <is>
          <t>Cap Throws that work:</t>
        </is>
      </c>
      <c r="E877" s="34" t="inlineStr">
        <is>
          <t>Neutral Throw, Up Throw, Down Throw, Spin Throw</t>
        </is>
      </c>
      <c r="F877" s="34" t="n"/>
      <c r="G877" s="34" t="n"/>
      <c r="H877" s="34" t="n"/>
      <c r="I877" s="34" t="n"/>
      <c r="J877" s="16" t="n"/>
    </row>
    <row r="878">
      <c r="A878" s="43" t="n"/>
      <c r="B878" s="44" t="n"/>
      <c r="C878" s="43" t="n"/>
      <c r="D878" s="19" t="inlineStr">
        <is>
          <t>Other Required:</t>
        </is>
      </c>
      <c r="E878" s="35" t="inlineStr">
        <is>
          <t>Ground Pound</t>
        </is>
      </c>
      <c r="F878" s="35" t="n"/>
      <c r="G878" s="35" t="n"/>
      <c r="H878" s="35" t="n"/>
      <c r="I878" s="35" t="n"/>
      <c r="J878" s="16" t="n"/>
    </row>
    <row r="879">
      <c r="A879" s="41" t="b">
        <v>1</v>
      </c>
      <c r="B879" s="31" t="inlineStr">
        <is>
          <t>Lost Kingdom: Avoiding Fuzzies Inside the Wall</t>
        </is>
      </c>
      <c r="C879" s="35" t="n"/>
      <c r="D879" s="12" t="inlineStr">
        <is>
          <t>Minimum Jump Height:</t>
        </is>
      </c>
      <c r="E879" s="34" t="inlineStr">
        <is>
          <t>Single Jump (258)</t>
        </is>
      </c>
      <c r="F879" s="34" t="n"/>
      <c r="G879" s="34" t="n"/>
      <c r="H879" s="34" t="n"/>
      <c r="I879" s="34" t="n"/>
      <c r="J879" s="16" t="n"/>
    </row>
    <row r="880">
      <c r="B880" s="42" t="n"/>
      <c r="D880" s="12" t="inlineStr">
        <is>
          <t>Cap Throws that work:</t>
        </is>
      </c>
      <c r="E880" s="34" t="inlineStr">
        <is>
          <t>Neutral Throw, Up Throw, Down Throw, Spin Throw</t>
        </is>
      </c>
      <c r="F880" s="34" t="n"/>
      <c r="G880" s="34" t="n"/>
      <c r="H880" s="34" t="n"/>
      <c r="I880" s="34" t="n"/>
      <c r="J880" s="16" t="n"/>
    </row>
    <row r="881">
      <c r="A881" s="43" t="n"/>
      <c r="B881" s="44" t="n"/>
      <c r="C881" s="43" t="n"/>
      <c r="D881" s="19" t="inlineStr">
        <is>
          <t>Other Required:</t>
        </is>
      </c>
      <c r="E881" s="35" t="inlineStr">
        <is>
          <t>Ground Pound</t>
        </is>
      </c>
      <c r="F881" s="35" t="n"/>
      <c r="G881" s="35" t="n"/>
      <c r="H881" s="35" t="n"/>
      <c r="I881" s="35" t="n"/>
      <c r="J881" s="16" t="n"/>
    </row>
    <row r="882">
      <c r="A882" s="41" t="b">
        <v>1</v>
      </c>
      <c r="B882" s="31" t="inlineStr">
        <is>
          <t>Lost Kingdom: Inside the Rising Stone Pillar</t>
        </is>
      </c>
      <c r="C882" s="35" t="n"/>
      <c r="D882" s="12" t="inlineStr">
        <is>
          <t>Minimum Jump Height:</t>
        </is>
      </c>
      <c r="E882" s="34" t="inlineStr">
        <is>
          <t>Single Jump (258)</t>
        </is>
      </c>
      <c r="F882" s="34" t="n"/>
      <c r="G882" s="34" t="n"/>
      <c r="H882" s="34" t="n"/>
      <c r="I882" s="34" t="n"/>
      <c r="J882" s="16" t="n"/>
    </row>
    <row r="883">
      <c r="B883" s="42" t="n"/>
      <c r="D883" s="12" t="inlineStr">
        <is>
          <t>Cap Throws that work:</t>
        </is>
      </c>
      <c r="E883" s="34" t="inlineStr">
        <is>
          <t>No Cap Throw Needed</t>
        </is>
      </c>
      <c r="F883" s="34" t="n"/>
      <c r="G883" s="34" t="n"/>
      <c r="H883" s="34" t="n"/>
      <c r="I883" s="34" t="n"/>
      <c r="J883" s="16" t="n"/>
    </row>
    <row r="884">
      <c r="A884" s="43" t="n"/>
      <c r="B884" s="44" t="n"/>
      <c r="C884" s="43" t="n"/>
      <c r="D884" s="19" t="inlineStr">
        <is>
          <t>Other Required:</t>
        </is>
      </c>
      <c r="E884" s="35" t="inlineStr">
        <is>
          <t>Ground Pound</t>
        </is>
      </c>
      <c r="F884" s="35" t="n"/>
      <c r="G884" s="35" t="n"/>
      <c r="H884" s="35" t="n"/>
      <c r="I884" s="35" t="n"/>
      <c r="J884" s="16" t="n"/>
    </row>
    <row r="885">
      <c r="A885" s="41" t="b">
        <v>1</v>
      </c>
      <c r="B885" s="31" t="inlineStr">
        <is>
          <t>Lost Kingdom: Enjoying the View of Forgotten Isle</t>
        </is>
      </c>
      <c r="C885" s="35" t="n"/>
      <c r="D885" s="12" t="inlineStr">
        <is>
          <t>Minimum Jump Height:</t>
        </is>
      </c>
      <c r="E885" s="34" t="inlineStr">
        <is>
          <t>Single Jump (258)</t>
        </is>
      </c>
      <c r="F885" s="34" t="n"/>
      <c r="G885" s="34" t="n"/>
      <c r="H885" s="34" t="n"/>
      <c r="I885" s="34" t="n"/>
      <c r="J885" s="16" t="n"/>
    </row>
    <row r="886">
      <c r="B886" s="42" t="n"/>
      <c r="D886" s="12" t="inlineStr">
        <is>
          <t>Cap Throws that work:</t>
        </is>
      </c>
      <c r="E886" s="34" t="inlineStr">
        <is>
          <t>Neutral Throw, Up Throw, Down Throw</t>
        </is>
      </c>
      <c r="F886" s="34" t="n"/>
      <c r="G886" s="34" t="n"/>
      <c r="H886" s="34" t="n"/>
      <c r="I886" s="34" t="n"/>
      <c r="J886" s="16" t="n"/>
    </row>
    <row r="887">
      <c r="A887" s="43" t="n"/>
      <c r="B887" s="44" t="n"/>
      <c r="C887" s="43" t="n"/>
      <c r="D887" s="19" t="inlineStr">
        <is>
          <t>Other Required:</t>
        </is>
      </c>
      <c r="E887" s="35" t="inlineStr">
        <is>
          <t>Ground Pound, Wall Slide</t>
        </is>
      </c>
      <c r="F887" s="35" t="n"/>
      <c r="G887" s="35" t="n"/>
      <c r="H887" s="35" t="n"/>
      <c r="I887" s="35" t="n"/>
      <c r="J887" s="16" t="n"/>
    </row>
    <row r="888">
      <c r="A888" s="41" t="b">
        <v>1</v>
      </c>
      <c r="B888" s="31" t="inlineStr">
        <is>
          <t>Lost Kingdom: On the Mountain Road</t>
        </is>
      </c>
      <c r="C888" s="35" t="n"/>
      <c r="D888" s="12" t="inlineStr">
        <is>
          <t>Minimum Jump Height:</t>
        </is>
      </c>
      <c r="E888" s="34" t="inlineStr">
        <is>
          <t>Single Jump (258)</t>
        </is>
      </c>
      <c r="F888" s="34" t="n"/>
      <c r="G888" s="34" t="n"/>
      <c r="H888" s="34" t="n"/>
      <c r="I888" s="34" t="n"/>
      <c r="J888" s="16" t="n"/>
    </row>
    <row r="889">
      <c r="B889" s="42" t="n"/>
      <c r="D889" s="12" t="inlineStr">
        <is>
          <t>Cap Throws that work:</t>
        </is>
      </c>
      <c r="E889" s="34" t="inlineStr">
        <is>
          <t>Neutral Throw, Up Throw, Down Throw, Spin Throw</t>
        </is>
      </c>
      <c r="F889" s="34" t="n"/>
      <c r="G889" s="34" t="n"/>
      <c r="H889" s="34" t="n"/>
      <c r="I889" s="34" t="n"/>
      <c r="J889" s="16" t="n"/>
    </row>
    <row r="890">
      <c r="A890" s="43" t="n"/>
      <c r="B890" s="44" t="n"/>
      <c r="C890" s="43" t="n"/>
      <c r="D890" s="19" t="inlineStr">
        <is>
          <t>Other Required:</t>
        </is>
      </c>
      <c r="E890" s="35" t="inlineStr">
        <is>
          <t>Ground Pound</t>
        </is>
      </c>
      <c r="F890" s="35" t="n"/>
      <c r="G890" s="35" t="n"/>
      <c r="H890" s="35" t="n"/>
      <c r="I890" s="35" t="n"/>
      <c r="J890" s="16" t="n"/>
    </row>
    <row r="891">
      <c r="A891" s="41" t="b">
        <v>1</v>
      </c>
      <c r="B891" s="31" t="inlineStr">
        <is>
          <t>Lost Kingdom: A Propeller Pillar's Secret</t>
        </is>
      </c>
      <c r="C891" s="35" t="n"/>
      <c r="D891" s="12" t="inlineStr">
        <is>
          <t>Minimum Jump Height:</t>
        </is>
      </c>
      <c r="E891" s="34" t="inlineStr">
        <is>
          <t>Single Jump (258)</t>
        </is>
      </c>
      <c r="F891" s="34" t="n"/>
      <c r="G891" s="34" t="n"/>
      <c r="H891" s="34" t="n"/>
      <c r="I891" s="34" t="n"/>
      <c r="J891" s="16" t="n"/>
    </row>
    <row r="892">
      <c r="B892" s="42" t="n"/>
      <c r="D892" s="12" t="inlineStr">
        <is>
          <t>Cap Throws that work:</t>
        </is>
      </c>
      <c r="E892" s="34" t="inlineStr">
        <is>
          <t>No Cap Throw Needed</t>
        </is>
      </c>
      <c r="F892" s="34" t="n"/>
      <c r="G892" s="34" t="n"/>
      <c r="H892" s="34" t="n"/>
      <c r="I892" s="34" t="n"/>
      <c r="J892" s="16" t="n"/>
    </row>
    <row r="893">
      <c r="A893" s="43" t="n"/>
      <c r="B893" s="44" t="n"/>
      <c r="C893" s="43" t="n"/>
      <c r="D893" s="19" t="inlineStr">
        <is>
          <t>Other Required:</t>
        </is>
      </c>
      <c r="E893" s="35" t="inlineStr">
        <is>
          <t>Ground Pound</t>
        </is>
      </c>
      <c r="F893" s="35" t="n"/>
      <c r="G893" s="35" t="n"/>
      <c r="H893" s="35" t="n"/>
      <c r="I893" s="35" t="n"/>
      <c r="J893" s="16" t="n"/>
    </row>
    <row r="894">
      <c r="A894" s="41" t="b">
        <v>1</v>
      </c>
      <c r="B894" s="31" t="inlineStr">
        <is>
          <t>Lost Kingdom: Wrecked Rock Block</t>
        </is>
      </c>
      <c r="C894" s="35" t="n"/>
      <c r="D894" s="12" t="inlineStr">
        <is>
          <t>Minimum Jump Height:</t>
        </is>
      </c>
      <c r="E894" s="34" t="inlineStr">
        <is>
          <t>Single Jump (258)</t>
        </is>
      </c>
      <c r="F894" s="34" t="n"/>
      <c r="G894" s="34" t="n"/>
      <c r="H894" s="34" t="n"/>
      <c r="I894" s="34" t="n"/>
      <c r="J894" s="16" t="n"/>
    </row>
    <row r="895">
      <c r="B895" s="42" t="n"/>
      <c r="D895" s="12" t="inlineStr">
        <is>
          <t>Cap Throws that work:</t>
        </is>
      </c>
      <c r="E895" s="34" t="inlineStr">
        <is>
          <t>Neutral Throw, Up Throw, Down Throw, Spin Throw</t>
        </is>
      </c>
      <c r="F895" s="34" t="n"/>
      <c r="G895" s="34" t="n"/>
      <c r="H895" s="34" t="n"/>
      <c r="I895" s="34" t="n"/>
      <c r="J895" s="16" t="n"/>
    </row>
    <row r="896">
      <c r="A896" s="43" t="n"/>
      <c r="B896" s="44" t="n"/>
      <c r="C896" s="43" t="n"/>
      <c r="D896" s="19" t="inlineStr">
        <is>
          <t>Other Required:</t>
        </is>
      </c>
      <c r="E896" s="35" t="inlineStr">
        <is>
          <t>Ground Pound</t>
        </is>
      </c>
      <c r="F896" s="35" t="n"/>
      <c r="G896" s="35" t="n"/>
      <c r="H896" s="35" t="n"/>
      <c r="I896" s="35" t="n"/>
      <c r="J896" s="16" t="n"/>
    </row>
    <row r="897">
      <c r="A897" s="41" t="b">
        <v>1</v>
      </c>
      <c r="B897" s="31" t="inlineStr">
        <is>
          <t>Lost Kingdom: A Butterfly's Treasure</t>
        </is>
      </c>
      <c r="C897" s="35" t="n"/>
      <c r="D897" s="12" t="inlineStr">
        <is>
          <t>Minimum Jump Height:</t>
        </is>
      </c>
      <c r="E897" s="34" t="inlineStr">
        <is>
          <t>Single Jump (258)</t>
        </is>
      </c>
      <c r="F897" s="34" t="n"/>
      <c r="G897" s="34" t="n"/>
      <c r="H897" s="34" t="n"/>
      <c r="I897" s="34" t="n"/>
      <c r="J897" s="16" t="n"/>
    </row>
    <row r="898">
      <c r="B898" s="42" t="n"/>
      <c r="D898" s="12" t="inlineStr">
        <is>
          <t>Cap Throws that work:</t>
        </is>
      </c>
      <c r="E898" s="34" t="inlineStr">
        <is>
          <t>Neutral Throw, Up Throw, Down Throw, Spin Throw</t>
        </is>
      </c>
      <c r="F898" s="34" t="n"/>
      <c r="G898" s="34" t="n"/>
      <c r="H898" s="34" t="n"/>
      <c r="I898" s="34" t="n"/>
      <c r="J898" s="16" t="n"/>
    </row>
    <row r="899">
      <c r="A899" s="43" t="n"/>
      <c r="B899" s="44" t="n"/>
      <c r="C899" s="43" t="n"/>
      <c r="D899" s="19" t="inlineStr">
        <is>
          <t>Other Required:</t>
        </is>
      </c>
      <c r="E899" s="35" t="inlineStr">
        <is>
          <t>Ground Pound, Wall Slide</t>
        </is>
      </c>
      <c r="F899" s="35" t="n"/>
      <c r="G899" s="35" t="n"/>
      <c r="H899" s="35" t="n"/>
      <c r="I899" s="35" t="n"/>
      <c r="J899" s="16" t="n"/>
    </row>
    <row r="900">
      <c r="A900" s="41" t="b">
        <v>1</v>
      </c>
      <c r="B900" s="31" t="inlineStr">
        <is>
          <t>Lost Kingdom: Caught Hopping in the Jungle!</t>
        </is>
      </c>
      <c r="C900" s="35" t="n"/>
      <c r="D900" s="12" t="inlineStr">
        <is>
          <t>Minimum Jump Height:</t>
        </is>
      </c>
      <c r="E900" s="34" t="inlineStr">
        <is>
          <t>Single Jump (258)</t>
        </is>
      </c>
      <c r="F900" s="34" t="n"/>
      <c r="G900" s="34" t="n"/>
      <c r="H900" s="34" t="n"/>
      <c r="I900" s="34" t="n"/>
      <c r="J900" s="16" t="n"/>
    </row>
    <row r="901">
      <c r="B901" s="42" t="n"/>
      <c r="D901" s="12" t="inlineStr">
        <is>
          <t>Cap Throws that work:</t>
        </is>
      </c>
      <c r="E901" s="34" t="inlineStr">
        <is>
          <t>No Cap Throw Needed</t>
        </is>
      </c>
      <c r="F901" s="34" t="n"/>
      <c r="G901" s="34" t="n"/>
      <c r="H901" s="34" t="n"/>
      <c r="I901" s="34" t="n"/>
      <c r="J901" s="16" t="n"/>
    </row>
    <row r="902">
      <c r="A902" s="43" t="n"/>
      <c r="B902" s="44" t="n"/>
      <c r="C902" s="43" t="n"/>
      <c r="D902" s="19" t="inlineStr">
        <is>
          <t>Other Required:</t>
        </is>
      </c>
      <c r="E902" s="35" t="inlineStr">
        <is>
          <t>Ground Pound</t>
        </is>
      </c>
      <c r="F902" s="35" t="n"/>
      <c r="G902" s="35" t="n"/>
      <c r="H902" s="35" t="n"/>
      <c r="I902" s="35" t="n"/>
      <c r="J902" s="16" t="n"/>
    </row>
    <row r="903">
      <c r="A903" s="41" t="b">
        <v>1</v>
      </c>
      <c r="B903" s="31" t="inlineStr">
        <is>
          <t>Lost Kingdom: Cave Gardening</t>
        </is>
      </c>
      <c r="C903" s="35" t="n"/>
      <c r="D903" s="12" t="inlineStr">
        <is>
          <t>Minimum Jump Height:</t>
        </is>
      </c>
      <c r="E903" s="34" t="inlineStr">
        <is>
          <t>Single Jump (258)</t>
        </is>
      </c>
      <c r="F903" s="34" t="n"/>
      <c r="G903" s="34" t="n"/>
      <c r="H903" s="34" t="n"/>
      <c r="I903" s="34" t="n"/>
      <c r="J903" s="16" t="n"/>
    </row>
    <row r="904">
      <c r="B904" s="42" t="n"/>
      <c r="D904" s="12" t="inlineStr">
        <is>
          <t>Cap Throws that work:</t>
        </is>
      </c>
      <c r="E904" s="34" t="inlineStr">
        <is>
          <t>Neutral Throw, Up Throw, Down Throw, Spin Throw</t>
        </is>
      </c>
      <c r="F904" s="34" t="n"/>
      <c r="G904" s="34" t="n"/>
      <c r="H904" s="34" t="n"/>
      <c r="I904" s="34" t="n"/>
      <c r="J904" s="16" t="n"/>
    </row>
    <row r="905">
      <c r="A905" s="43" t="n"/>
      <c r="B905" s="44" t="n"/>
      <c r="C905" s="43" t="n"/>
      <c r="D905" s="19" t="inlineStr">
        <is>
          <t>Other Required:</t>
        </is>
      </c>
      <c r="E905" s="35" t="inlineStr">
        <is>
          <t>Ground Pound, Wall Slide</t>
        </is>
      </c>
      <c r="F905" s="35" t="n"/>
      <c r="G905" s="35" t="n"/>
      <c r="H905" s="35" t="n"/>
      <c r="I905" s="35" t="n"/>
      <c r="J905" s="16" t="n"/>
    </row>
    <row r="906">
      <c r="A906" s="41" t="b">
        <v>1</v>
      </c>
      <c r="B906" s="31" t="inlineStr">
        <is>
          <t>Lost Kingdom: Moon Shards in the Jungle</t>
        </is>
      </c>
      <c r="C906" s="35" t="inlineStr">
        <is>
          <t>Wiggler</t>
        </is>
      </c>
      <c r="D906" s="12" t="inlineStr">
        <is>
          <t>Minimum Jump Height:</t>
        </is>
      </c>
      <c r="E906" s="34" t="inlineStr">
        <is>
          <t>Long Jump</t>
        </is>
      </c>
      <c r="F906" s="34" t="inlineStr">
        <is>
          <t>Single Jump (258)</t>
        </is>
      </c>
      <c r="G906" s="34" t="n"/>
      <c r="H906" s="34" t="n"/>
      <c r="I906" s="34" t="n"/>
      <c r="J906" s="16" t="n"/>
    </row>
    <row r="907">
      <c r="B907" s="42" t="n"/>
      <c r="D907" s="12" t="inlineStr">
        <is>
          <t>Cap Throws that work:</t>
        </is>
      </c>
      <c r="E907" s="34" t="inlineStr">
        <is>
          <t>Neutral Throw, Up Throw, Down Throw, Spin Throw</t>
        </is>
      </c>
      <c r="F907" s="34" t="inlineStr">
        <is>
          <t>Neutral Throw</t>
        </is>
      </c>
      <c r="G907" s="34" t="n"/>
      <c r="H907" s="34" t="n"/>
      <c r="I907" s="34" t="n"/>
      <c r="J907" s="16" t="n"/>
    </row>
    <row r="908">
      <c r="A908" s="43" t="n"/>
      <c r="B908" s="44" t="n"/>
      <c r="C908" s="43" t="n"/>
      <c r="D908" s="19" t="inlineStr">
        <is>
          <t>Other Required:</t>
        </is>
      </c>
      <c r="E908" s="35" t="inlineStr">
        <is>
          <t>Capture</t>
        </is>
      </c>
      <c r="F908" s="35" t="inlineStr">
        <is>
          <t>None</t>
        </is>
      </c>
      <c r="G908" s="35" t="n"/>
      <c r="H908" s="35" t="n"/>
      <c r="I908" s="35" t="n"/>
      <c r="J908" s="16" t="n"/>
    </row>
    <row r="909">
      <c r="A909" s="41" t="b">
        <v>1</v>
      </c>
      <c r="B909" s="31" t="inlineStr">
        <is>
          <t>Lost Kingdom: Peeking Out from Under the Bridge</t>
        </is>
      </c>
      <c r="C909" s="35" t="n"/>
      <c r="D909" s="12" t="inlineStr">
        <is>
          <t>Minimum Jump Height:</t>
        </is>
      </c>
      <c r="E909" s="34" t="inlineStr">
        <is>
          <t>Single Jump (258)</t>
        </is>
      </c>
      <c r="F909" s="34" t="n"/>
      <c r="G909" s="34" t="n"/>
      <c r="H909" s="34" t="n"/>
      <c r="I909" s="34" t="n"/>
      <c r="J909" s="16" t="n"/>
    </row>
    <row r="910">
      <c r="B910" s="42" t="n"/>
      <c r="D910" s="12" t="inlineStr">
        <is>
          <t>Cap Throws that work:</t>
        </is>
      </c>
      <c r="E910" s="34" t="inlineStr">
        <is>
          <t>Neutral Throw, Up Throw, Down Throw, Spin Throw</t>
        </is>
      </c>
      <c r="F910" s="34" t="n"/>
      <c r="G910" s="34" t="n"/>
      <c r="H910" s="34" t="n"/>
      <c r="I910" s="34" t="n"/>
      <c r="J910" s="16" t="n"/>
    </row>
    <row r="911">
      <c r="A911" s="43" t="n"/>
      <c r="B911" s="44" t="n"/>
      <c r="C911" s="43" t="n"/>
      <c r="D911" s="19" t="inlineStr">
        <is>
          <t>Other Required:</t>
        </is>
      </c>
      <c r="E911" s="35" t="inlineStr">
        <is>
          <t>Ground Pound</t>
        </is>
      </c>
      <c r="F911" s="35" t="n"/>
      <c r="G911" s="35" t="n"/>
      <c r="H911" s="35" t="n"/>
      <c r="I911" s="35" t="n"/>
      <c r="J911" s="16" t="n"/>
    </row>
    <row r="912">
      <c r="A912" s="41" t="b">
        <v>1</v>
      </c>
      <c r="B912" s="31" t="inlineStr">
        <is>
          <t>Lost Kingdom: Twist 'n' Turn-Up Treasure</t>
        </is>
      </c>
      <c r="C912" s="35" t="inlineStr">
        <is>
          <t>Wiggler</t>
        </is>
      </c>
      <c r="D912" s="12" t="inlineStr">
        <is>
          <t>Minimum Jump Height:</t>
        </is>
      </c>
      <c r="E912" s="34" t="inlineStr">
        <is>
          <t>No Jump Needed</t>
        </is>
      </c>
      <c r="F912" s="34" t="n"/>
      <c r="G912" s="34" t="n"/>
      <c r="H912" s="34" t="n"/>
      <c r="I912" s="34" t="n"/>
      <c r="J912" s="16" t="n"/>
    </row>
    <row r="913">
      <c r="B913" s="42" t="n"/>
      <c r="D913" s="12" t="inlineStr">
        <is>
          <t>Cap Throws that work:</t>
        </is>
      </c>
      <c r="E913" s="34" t="inlineStr">
        <is>
          <t>Neutral Throw, Up Throw, Down Throw, Spin Throw</t>
        </is>
      </c>
      <c r="F913" s="34" t="n"/>
      <c r="G913" s="34" t="n"/>
      <c r="H913" s="34" t="n"/>
      <c r="I913" s="34" t="n"/>
      <c r="J913" s="16" t="n"/>
    </row>
    <row r="914">
      <c r="A914" s="43" t="n"/>
      <c r="B914" s="44" t="n"/>
      <c r="C914" s="43" t="n"/>
      <c r="D914" s="19" t="inlineStr">
        <is>
          <t>Other Required:</t>
        </is>
      </c>
      <c r="E914" s="35" t="inlineStr">
        <is>
          <t>Capture</t>
        </is>
      </c>
      <c r="F914" s="35" t="n"/>
      <c r="G914" s="35" t="n"/>
      <c r="H914" s="35" t="n"/>
      <c r="I914" s="35" t="n"/>
      <c r="J914" s="16" t="n"/>
    </row>
    <row r="915">
      <c r="A915" s="41" t="b">
        <v>1</v>
      </c>
      <c r="B915" s="31" t="inlineStr">
        <is>
          <t>Lost Kingdom: Soaring Over Forgotten Isle!</t>
        </is>
      </c>
      <c r="C915" s="35" t="inlineStr">
        <is>
          <t>Glydon</t>
        </is>
      </c>
      <c r="D915" s="12" t="inlineStr">
        <is>
          <t>Minimum Jump Height:</t>
        </is>
      </c>
      <c r="E915" s="34" t="inlineStr">
        <is>
          <t>No Jump Needed</t>
        </is>
      </c>
      <c r="F915" s="34" t="n"/>
      <c r="G915" s="34" t="n"/>
      <c r="H915" s="34" t="n"/>
      <c r="I915" s="34" t="n"/>
      <c r="J915" s="16" t="n"/>
    </row>
    <row r="916">
      <c r="B916" s="42" t="n"/>
      <c r="D916" s="12" t="inlineStr">
        <is>
          <t>Cap Throws that work:</t>
        </is>
      </c>
      <c r="E916" s="34" t="inlineStr">
        <is>
          <t>Neutral Throw, Up Throw, Down Throw, Spin Throw</t>
        </is>
      </c>
      <c r="F916" s="34" t="n"/>
      <c r="G916" s="34" t="n"/>
      <c r="H916" s="34" t="n"/>
      <c r="I916" s="34" t="n"/>
      <c r="J916" s="16" t="n"/>
    </row>
    <row r="917">
      <c r="A917" s="43" t="n"/>
      <c r="B917" s="44" t="n"/>
      <c r="C917" s="43" t="n"/>
      <c r="D917" s="19" t="inlineStr">
        <is>
          <t>Other Required:</t>
        </is>
      </c>
      <c r="E917" s="35" t="inlineStr">
        <is>
          <t>Capture</t>
        </is>
      </c>
      <c r="F917" s="35" t="n"/>
      <c r="G917" s="35" t="n"/>
      <c r="H917" s="35" t="n"/>
      <c r="I917" s="35" t="n"/>
      <c r="J917" s="16" t="n"/>
    </row>
    <row r="918">
      <c r="A918" s="41" t="b">
        <v>1</v>
      </c>
      <c r="B918" s="31" t="inlineStr">
        <is>
          <t>Lost Kingdom: The Caged Gold</t>
        </is>
      </c>
      <c r="C918" s="35" t="n"/>
      <c r="D918" s="12" t="inlineStr">
        <is>
          <t>Minimum Jump Height:</t>
        </is>
      </c>
      <c r="E918" s="34" t="inlineStr">
        <is>
          <t>Single Jump (258)</t>
        </is>
      </c>
      <c r="F918" s="34" t="n"/>
      <c r="G918" s="34" t="n"/>
      <c r="H918" s="34" t="n"/>
      <c r="I918" s="34" t="n"/>
      <c r="J918" s="16" t="n"/>
    </row>
    <row r="919">
      <c r="B919" s="42" t="n"/>
      <c r="D919" s="12" t="inlineStr">
        <is>
          <t>Cap Throws that work:</t>
        </is>
      </c>
      <c r="E919" s="34" t="inlineStr">
        <is>
          <t>Neutral Throw, Up Throw, Down Throw, Spin Throw</t>
        </is>
      </c>
      <c r="F919" s="34" t="n"/>
      <c r="G919" s="34" t="n"/>
      <c r="H919" s="34" t="n"/>
      <c r="I919" s="34" t="n"/>
      <c r="J919" s="16" t="n"/>
    </row>
    <row r="920">
      <c r="A920" s="43" t="n"/>
      <c r="B920" s="44" t="n"/>
      <c r="C920" s="43" t="n"/>
      <c r="D920" s="19" t="inlineStr">
        <is>
          <t>Other Required:</t>
        </is>
      </c>
      <c r="E920" s="35" t="inlineStr">
        <is>
          <t>Ground Pound</t>
        </is>
      </c>
      <c r="F920" s="35" t="n"/>
      <c r="G920" s="35" t="n"/>
      <c r="H920" s="35" t="n"/>
      <c r="I920" s="35" t="n"/>
      <c r="J920" s="16" t="n"/>
    </row>
    <row r="921">
      <c r="A921" s="41" t="b">
        <v>1</v>
      </c>
      <c r="B921" s="31" t="inlineStr">
        <is>
          <t>Lost Kingdom: Get Some Rest, Captain Toad</t>
        </is>
      </c>
      <c r="C921" s="35" t="n"/>
      <c r="D921" s="12" t="inlineStr">
        <is>
          <t>Minimum Jump Height:</t>
        </is>
      </c>
      <c r="E921" s="34" t="inlineStr">
        <is>
          <t>Single Jump (258)</t>
        </is>
      </c>
      <c r="F921" s="34" t="n"/>
      <c r="G921" s="34" t="n"/>
      <c r="H921" s="34" t="n"/>
      <c r="I921" s="34" t="n"/>
      <c r="J921" s="16" t="n"/>
    </row>
    <row r="922">
      <c r="B922" s="42" t="n"/>
      <c r="D922" s="12" t="inlineStr">
        <is>
          <t>Cap Throws that work:</t>
        </is>
      </c>
      <c r="E922" s="34" t="inlineStr">
        <is>
          <t>Neutral Throw, Up Throw, Down Throw, Spin Throw</t>
        </is>
      </c>
      <c r="F922" s="34" t="n"/>
      <c r="G922" s="34" t="n"/>
      <c r="H922" s="34" t="n"/>
      <c r="I922" s="34" t="n"/>
      <c r="J922" s="16" t="n"/>
    </row>
    <row r="923">
      <c r="A923" s="43" t="n"/>
      <c r="B923" s="44" t="n"/>
      <c r="C923" s="43" t="n"/>
      <c r="D923" s="19" t="inlineStr">
        <is>
          <t>Other Required:</t>
        </is>
      </c>
      <c r="E923" s="35" t="inlineStr">
        <is>
          <t>Ground Pound</t>
        </is>
      </c>
      <c r="F923" s="35" t="n"/>
      <c r="G923" s="35" t="n"/>
      <c r="H923" s="35" t="n"/>
      <c r="I923" s="35" t="n"/>
      <c r="J923" s="16" t="n"/>
    </row>
    <row r="924">
      <c r="A924" s="41" t="b">
        <v>1</v>
      </c>
      <c r="B924" s="31" t="inlineStr">
        <is>
          <t>Crazy Cap Store (Lost): Shopping on Forgotten Isle</t>
        </is>
      </c>
      <c r="C924" s="35" t="n"/>
      <c r="D924" s="12" t="inlineStr">
        <is>
          <t>Minimum Jump Height:</t>
        </is>
      </c>
      <c r="E924" s="34" t="inlineStr">
        <is>
          <t>Single Jump (258)</t>
        </is>
      </c>
      <c r="F924" s="34" t="n"/>
      <c r="G924" s="34" t="n"/>
      <c r="H924" s="34" t="n"/>
      <c r="I924" s="34" t="n"/>
      <c r="J924" s="16" t="n"/>
    </row>
    <row r="925">
      <c r="B925" s="42" t="n"/>
      <c r="D925" s="12" t="inlineStr">
        <is>
          <t>Cap Throws that work:</t>
        </is>
      </c>
      <c r="E925" s="34" t="inlineStr">
        <is>
          <t>Neutral Throw, Up Throw, Down Throw, Spin Throw</t>
        </is>
      </c>
      <c r="F925" s="34" t="n"/>
      <c r="G925" s="34" t="n"/>
      <c r="H925" s="34" t="n"/>
      <c r="I925" s="34" t="n"/>
      <c r="J925" s="16" t="n"/>
    </row>
    <row r="926">
      <c r="A926" s="43" t="n"/>
      <c r="B926" s="44" t="n"/>
      <c r="C926" s="43" t="n"/>
      <c r="D926" s="19" t="inlineStr">
        <is>
          <t>Other Required:</t>
        </is>
      </c>
      <c r="E926" s="35" t="inlineStr">
        <is>
          <t>Ground Pound, Wall Slide</t>
        </is>
      </c>
      <c r="F926" s="35" t="n"/>
      <c r="G926" s="35" t="n"/>
      <c r="H926" s="35" t="n"/>
      <c r="I926" s="35" t="n"/>
      <c r="J926" s="16" t="n"/>
    </row>
    <row r="927">
      <c r="A927" s="41" t="b">
        <v>1</v>
      </c>
      <c r="B927" s="31" t="inlineStr">
        <is>
          <t>Lost Kingdom: Taxi Flying Through Forgotten Isle</t>
        </is>
      </c>
      <c r="C927" s="35" t="inlineStr">
        <is>
          <t>Binoculars</t>
        </is>
      </c>
      <c r="D927" s="12" t="inlineStr">
        <is>
          <t>Minimum Jump Height:</t>
        </is>
      </c>
      <c r="E927" s="34" t="inlineStr">
        <is>
          <t>Single Jump (258)</t>
        </is>
      </c>
      <c r="F927" s="34" t="n"/>
      <c r="G927" s="34" t="n"/>
      <c r="H927" s="34" t="n"/>
      <c r="I927" s="34" t="n"/>
      <c r="J927" s="16" t="n"/>
    </row>
    <row r="928">
      <c r="B928" s="42" t="n"/>
      <c r="D928" s="12" t="inlineStr">
        <is>
          <t>Cap Throws that work:</t>
        </is>
      </c>
      <c r="E928" s="34" t="inlineStr">
        <is>
          <t>Neutral Throw, Up Throw, Down Throw, Spin Throw</t>
        </is>
      </c>
      <c r="F928" s="34" t="n"/>
      <c r="G928" s="34" t="n"/>
      <c r="H928" s="34" t="n"/>
      <c r="I928" s="34" t="n"/>
      <c r="J928" s="16" t="n"/>
    </row>
    <row r="929">
      <c r="A929" s="43" t="n"/>
      <c r="B929" s="44" t="n"/>
      <c r="C929" s="43" t="n"/>
      <c r="D929" s="19" t="inlineStr">
        <is>
          <t>Other Required:</t>
        </is>
      </c>
      <c r="E929" s="35" t="inlineStr">
        <is>
          <t>Capture</t>
        </is>
      </c>
      <c r="F929" s="35" t="n"/>
      <c r="G929" s="35" t="n"/>
      <c r="H929" s="35" t="n"/>
      <c r="I929" s="35" t="n"/>
      <c r="J929" s="16" t="n"/>
    </row>
    <row r="930">
      <c r="A930" s="41" t="b">
        <v>1</v>
      </c>
      <c r="B930" s="31" t="inlineStr">
        <is>
          <t>Lost Kingdom: I Met a Tropical Wiggler!</t>
        </is>
      </c>
      <c r="C930" s="35" t="inlineStr">
        <is>
          <t>Wiggler</t>
        </is>
      </c>
      <c r="D930" s="12" t="inlineStr">
        <is>
          <t>Minimum Jump Height:</t>
        </is>
      </c>
      <c r="E930" s="34" t="inlineStr">
        <is>
          <t>Single Jump (258)</t>
        </is>
      </c>
      <c r="F930" s="34" t="n"/>
      <c r="G930" s="34" t="n"/>
      <c r="H930" s="34" t="n"/>
      <c r="I930" s="34" t="n"/>
      <c r="J930" s="16" t="n"/>
    </row>
    <row r="931">
      <c r="B931" s="42" t="n"/>
      <c r="D931" s="12" t="inlineStr">
        <is>
          <t>Cap Throws that work:</t>
        </is>
      </c>
      <c r="E931" s="34" t="inlineStr">
        <is>
          <t>Neutral Throw, Up Throw, Down Throw, Spin Throw</t>
        </is>
      </c>
      <c r="F931" s="34" t="n"/>
      <c r="G931" s="34" t="n"/>
      <c r="H931" s="34" t="n"/>
      <c r="I931" s="34" t="n"/>
      <c r="J931" s="16" t="n"/>
    </row>
    <row r="932">
      <c r="A932" s="43" t="n"/>
      <c r="B932" s="44" t="n"/>
      <c r="C932" s="43" t="n"/>
      <c r="D932" s="19" t="inlineStr">
        <is>
          <t>Other Required:</t>
        </is>
      </c>
      <c r="E932" s="35" t="inlineStr">
        <is>
          <t>Ground Pound</t>
        </is>
      </c>
      <c r="F932" s="35" t="n"/>
      <c r="G932" s="35" t="n"/>
      <c r="H932" s="35" t="n"/>
      <c r="I932" s="35" t="n"/>
      <c r="J932" s="16" t="n"/>
    </row>
    <row r="933">
      <c r="A933" s="41" t="b">
        <v>1</v>
      </c>
      <c r="B933" s="31" t="inlineStr">
        <is>
          <t>Lost Kingdom: Lost Kingdom Regular Cup</t>
        </is>
      </c>
      <c r="C933" s="35" t="n"/>
      <c r="D933" s="12" t="inlineStr">
        <is>
          <t>Minimum Jump Height:</t>
        </is>
      </c>
      <c r="E933" s="34" t="inlineStr">
        <is>
          <t>Single Jump (258)</t>
        </is>
      </c>
      <c r="F933" s="34" t="n"/>
      <c r="G933" s="34" t="n"/>
      <c r="H933" s="34" t="n"/>
      <c r="I933" s="34" t="n"/>
      <c r="J933" s="16" t="n"/>
    </row>
    <row r="934">
      <c r="B934" s="42" t="n"/>
      <c r="D934" s="12" t="inlineStr">
        <is>
          <t>Cap Throws that work:</t>
        </is>
      </c>
      <c r="E934" s="34" t="inlineStr">
        <is>
          <t>Neutral Throw, Up Throw, Down Throw, Spin Throw</t>
        </is>
      </c>
      <c r="F934" s="34" t="n"/>
      <c r="G934" s="34" t="n"/>
      <c r="H934" s="34" t="n"/>
      <c r="I934" s="34" t="n"/>
      <c r="J934" s="16" t="n"/>
    </row>
    <row r="935">
      <c r="A935" s="43" t="n"/>
      <c r="B935" s="44" t="n"/>
      <c r="C935" s="43" t="n"/>
      <c r="D935" s="19" t="inlineStr">
        <is>
          <t>Other Required:</t>
        </is>
      </c>
      <c r="E935" s="35" t="inlineStr">
        <is>
          <t>Ground Pound, Wall Slide</t>
        </is>
      </c>
      <c r="F935" s="35" t="n"/>
      <c r="G935" s="35" t="n"/>
      <c r="H935" s="35" t="n"/>
      <c r="I935" s="35" t="n"/>
      <c r="J935" s="16" t="n"/>
    </row>
    <row r="936">
      <c r="A936" s="41" t="b">
        <v>1</v>
      </c>
      <c r="B936" s="31" t="inlineStr">
        <is>
          <t>Lost Kingdom: Peach in the Lost Kingdom</t>
        </is>
      </c>
      <c r="C936" s="35" t="n"/>
      <c r="D936" s="12" t="inlineStr">
        <is>
          <t>Minimum Jump Height:</t>
        </is>
      </c>
      <c r="E936" s="34" t="inlineStr">
        <is>
          <t>Single Jump (258)</t>
        </is>
      </c>
      <c r="F936" s="34" t="n"/>
      <c r="G936" s="34" t="n"/>
      <c r="H936" s="34" t="n"/>
      <c r="I936" s="34" t="n"/>
      <c r="J936" s="16" t="n"/>
    </row>
    <row r="937">
      <c r="B937" s="42" t="n"/>
      <c r="D937" s="12" t="inlineStr">
        <is>
          <t>Cap Throws that work:</t>
        </is>
      </c>
      <c r="E937" s="34" t="inlineStr">
        <is>
          <t>Neutral Throw, Up Throw, Down Throw, Spin Throw</t>
        </is>
      </c>
      <c r="F937" s="34" t="n"/>
      <c r="G937" s="34" t="n"/>
      <c r="H937" s="34" t="n"/>
      <c r="I937" s="34" t="n"/>
      <c r="J937" s="16" t="n"/>
    </row>
    <row r="938">
      <c r="A938" s="43" t="n"/>
      <c r="B938" s="44" t="n"/>
      <c r="C938" s="43" t="n"/>
      <c r="D938" s="19" t="inlineStr">
        <is>
          <t>Other Required:</t>
        </is>
      </c>
      <c r="E938" s="35" t="inlineStr">
        <is>
          <t>Ground Pound, Wall Slide</t>
        </is>
      </c>
      <c r="F938" s="35" t="n"/>
      <c r="G938" s="35" t="n"/>
      <c r="H938" s="35" t="n"/>
      <c r="I938" s="35" t="n"/>
      <c r="J938" s="16" t="n"/>
    </row>
    <row r="939">
      <c r="A939" s="41" t="b">
        <v>1</v>
      </c>
      <c r="B939" s="31" t="inlineStr">
        <is>
          <t>Lost Kingdom: The Shining Fruit</t>
        </is>
      </c>
      <c r="C939" s="35" t="n"/>
      <c r="D939" s="12" t="inlineStr">
        <is>
          <t>Minimum Jump Height:</t>
        </is>
      </c>
      <c r="E939" s="34" t="inlineStr">
        <is>
          <t>Single Jump (258)</t>
        </is>
      </c>
      <c r="F939" s="34" t="n"/>
      <c r="G939" s="34" t="n"/>
      <c r="H939" s="34" t="n"/>
      <c r="I939" s="34" t="n"/>
      <c r="J939" s="16" t="n"/>
    </row>
    <row r="940">
      <c r="B940" s="42" t="n"/>
      <c r="D940" s="12" t="inlineStr">
        <is>
          <t>Cap Throws that work:</t>
        </is>
      </c>
      <c r="E940" s="34" t="inlineStr">
        <is>
          <t>No Cap Throw Needed</t>
        </is>
      </c>
      <c r="F940" s="34" t="n"/>
      <c r="G940" s="34" t="n"/>
      <c r="H940" s="34" t="n"/>
      <c r="I940" s="34" t="n"/>
      <c r="J940" s="16" t="n"/>
    </row>
    <row r="941">
      <c r="A941" s="43" t="n"/>
      <c r="B941" s="44" t="n"/>
      <c r="C941" s="43" t="n"/>
      <c r="D941" s="19" t="inlineStr">
        <is>
          <t>Other Required:</t>
        </is>
      </c>
      <c r="E941" s="35" t="inlineStr">
        <is>
          <t>None</t>
        </is>
      </c>
      <c r="F941" s="35" t="n"/>
      <c r="G941" s="35" t="n"/>
      <c r="H941" s="35" t="n"/>
      <c r="I941" s="35" t="n"/>
      <c r="J941" s="16" t="n"/>
    </row>
    <row r="942">
      <c r="A942" s="41" t="b">
        <v>1</v>
      </c>
      <c r="B942" s="31" t="inlineStr">
        <is>
          <t>Lost Kingdom: Jump Down to the Top of a Tree</t>
        </is>
      </c>
      <c r="C942" s="35" t="n"/>
      <c r="D942" s="12" t="inlineStr">
        <is>
          <t>Minimum Jump Height:</t>
        </is>
      </c>
      <c r="E942" s="34" t="inlineStr">
        <is>
          <t>Single Jump (258)</t>
        </is>
      </c>
      <c r="F942" s="34" t="n"/>
      <c r="G942" s="34" t="n"/>
      <c r="H942" s="34" t="n"/>
      <c r="I942" s="34" t="n"/>
      <c r="J942" s="16" t="n"/>
    </row>
    <row r="943">
      <c r="B943" s="42" t="n"/>
      <c r="D943" s="12" t="inlineStr">
        <is>
          <t>Cap Throws that work:</t>
        </is>
      </c>
      <c r="E943" s="34" t="inlineStr">
        <is>
          <t>Neutral Throw, Up Throw, Down Throw, Spin Throw</t>
        </is>
      </c>
      <c r="F943" s="34" t="n"/>
      <c r="G943" s="34" t="n"/>
      <c r="H943" s="34" t="n"/>
      <c r="I943" s="34" t="n"/>
      <c r="J943" s="16" t="n"/>
    </row>
    <row r="944">
      <c r="A944" s="43" t="n"/>
      <c r="B944" s="44" t="n"/>
      <c r="C944" s="43" t="n"/>
      <c r="D944" s="19" t="inlineStr">
        <is>
          <t>Other Required:</t>
        </is>
      </c>
      <c r="E944" s="35" t="inlineStr">
        <is>
          <t>Ground Pound</t>
        </is>
      </c>
      <c r="F944" s="35" t="n"/>
      <c r="G944" s="35" t="n"/>
      <c r="H944" s="35" t="n"/>
      <c r="I944" s="35" t="n"/>
      <c r="J944" s="16" t="n"/>
    </row>
    <row r="945">
      <c r="A945" s="41" t="b">
        <v>1</v>
      </c>
      <c r="B945" s="31" t="inlineStr">
        <is>
          <t>Lost Kingdom: Line It Up, Blow It Up</t>
        </is>
      </c>
      <c r="C945" s="35" t="n"/>
      <c r="D945" s="12" t="inlineStr">
        <is>
          <t>Minimum Jump Height:</t>
        </is>
      </c>
      <c r="E945" s="34" t="inlineStr">
        <is>
          <t>Single Jump (258)</t>
        </is>
      </c>
      <c r="F945" s="34" t="n"/>
      <c r="G945" s="34" t="n"/>
      <c r="H945" s="34" t="n"/>
      <c r="I945" s="34" t="n"/>
      <c r="J945" s="16" t="n"/>
    </row>
    <row r="946">
      <c r="B946" s="42" t="n"/>
      <c r="D946" s="12" t="inlineStr">
        <is>
          <t>Cap Throws that work:</t>
        </is>
      </c>
      <c r="E946" s="34" t="inlineStr">
        <is>
          <t>Neutral Throw, Up Throw, Down Throw, Spin Throw</t>
        </is>
      </c>
      <c r="F946" s="34" t="n"/>
      <c r="G946" s="34" t="n"/>
      <c r="H946" s="34" t="n"/>
      <c r="I946" s="34" t="n"/>
      <c r="J946" s="16" t="n"/>
    </row>
    <row r="947">
      <c r="A947" s="43" t="n"/>
      <c r="B947" s="44" t="n"/>
      <c r="C947" s="43" t="n"/>
      <c r="D947" s="19" t="inlineStr">
        <is>
          <t>Other Required:</t>
        </is>
      </c>
      <c r="E947" s="35" t="inlineStr">
        <is>
          <t>Ground Pound</t>
        </is>
      </c>
      <c r="F947" s="35" t="n"/>
      <c r="G947" s="35" t="n"/>
      <c r="H947" s="35" t="n"/>
      <c r="I947" s="35" t="n"/>
      <c r="J947" s="16" t="n"/>
    </row>
    <row r="948">
      <c r="A948" s="41" t="b">
        <v>1</v>
      </c>
      <c r="B948" s="31" t="inlineStr">
        <is>
          <t>Lost Kingdom: Taking Notes: Stretch and Shrink</t>
        </is>
      </c>
      <c r="C948" s="35" t="inlineStr">
        <is>
          <t>Wiggler</t>
        </is>
      </c>
      <c r="D948" s="12" t="inlineStr">
        <is>
          <t>Minimum Jump Height:</t>
        </is>
      </c>
      <c r="E948" s="34" t="inlineStr">
        <is>
          <t>Single Jump (258)</t>
        </is>
      </c>
      <c r="F948" s="34" t="inlineStr">
        <is>
          <t>No Jump Needed</t>
        </is>
      </c>
      <c r="G948" s="34" t="n"/>
      <c r="H948" s="34" t="n"/>
      <c r="I948" s="34" t="n"/>
      <c r="J948" s="16" t="n"/>
    </row>
    <row r="949">
      <c r="B949" s="42" t="n"/>
      <c r="D949" s="12" t="inlineStr">
        <is>
          <t>Cap Throws that work:</t>
        </is>
      </c>
      <c r="E949" s="34" t="inlineStr">
        <is>
          <t>Spin Throw, Neutral Throw</t>
        </is>
      </c>
      <c r="F949" s="34" t="inlineStr">
        <is>
          <t>Neutral Throw, Spin Throw</t>
        </is>
      </c>
      <c r="G949" s="34" t="n"/>
      <c r="H949" s="34" t="n"/>
      <c r="I949" s="34" t="n"/>
      <c r="J949" s="16" t="n"/>
    </row>
    <row r="950">
      <c r="A950" s="43" t="n"/>
      <c r="B950" s="44" t="n"/>
      <c r="C950" s="43" t="n"/>
      <c r="D950" s="19" t="inlineStr">
        <is>
          <t>Other Required:</t>
        </is>
      </c>
      <c r="E950" s="35" t="inlineStr">
        <is>
          <t>None</t>
        </is>
      </c>
      <c r="F950" s="35" t="inlineStr">
        <is>
          <t>Capture</t>
        </is>
      </c>
      <c r="G950" s="35" t="n"/>
      <c r="H950" s="35" t="n"/>
      <c r="I950" s="35" t="n"/>
      <c r="J950" s="16" t="n"/>
    </row>
    <row r="951">
      <c r="A951" s="41" t="b">
        <v>1</v>
      </c>
      <c r="B951" s="31" t="inlineStr">
        <is>
          <t>Lost Kingdom: Lost Kingdom Master Cup</t>
        </is>
      </c>
      <c r="C951" s="35" t="n"/>
      <c r="D951" s="12" t="inlineStr">
        <is>
          <t>Minimum Jump Height:</t>
        </is>
      </c>
      <c r="E951" s="34" t="inlineStr">
        <is>
          <t>Single Jump (258)</t>
        </is>
      </c>
      <c r="F951" s="34" t="n"/>
      <c r="G951" s="34" t="n"/>
      <c r="H951" s="34" t="n"/>
      <c r="I951" s="34" t="n"/>
      <c r="J951" s="16" t="n"/>
    </row>
    <row r="952">
      <c r="B952" s="42" t="n"/>
      <c r="D952" s="12" t="inlineStr">
        <is>
          <t>Cap Throws that work:</t>
        </is>
      </c>
      <c r="E952" s="34" t="inlineStr">
        <is>
          <t>Neutral Throw, Up Throw, Down Throw, Spin Throw</t>
        </is>
      </c>
      <c r="F952" s="34" t="n"/>
      <c r="G952" s="34" t="n"/>
      <c r="H952" s="34" t="n"/>
      <c r="I952" s="34" t="n"/>
      <c r="J952" s="16" t="n"/>
    </row>
    <row r="953">
      <c r="A953" s="43" t="n"/>
      <c r="B953" s="44" t="n"/>
      <c r="C953" s="43" t="n"/>
      <c r="D953" s="19" t="inlineStr">
        <is>
          <t>Other Required:</t>
        </is>
      </c>
      <c r="E953" s="35" t="inlineStr">
        <is>
          <t>Ground Pound, Wall Slide</t>
        </is>
      </c>
      <c r="F953" s="35" t="n"/>
      <c r="G953" s="35" t="n"/>
      <c r="H953" s="35" t="n"/>
      <c r="I953" s="35" t="n"/>
      <c r="J953" s="16" t="n"/>
    </row>
    <row r="954">
      <c r="A954" s="41" t="b">
        <v>1</v>
      </c>
      <c r="B954" s="31" t="inlineStr">
        <is>
          <t>Lost Kingdom: Lost Kingdom Timer Challenge</t>
        </is>
      </c>
      <c r="C954" s="35" t="n"/>
      <c r="D954" s="12" t="inlineStr">
        <is>
          <t>Minimum Jump Height:</t>
        </is>
      </c>
      <c r="E954" s="34" t="inlineStr">
        <is>
          <t>Single Jump (258)</t>
        </is>
      </c>
      <c r="F954" s="34" t="n"/>
      <c r="G954" s="34" t="n"/>
      <c r="H954" s="34" t="n"/>
      <c r="I954" s="34" t="n"/>
      <c r="J954" s="16" t="n"/>
    </row>
    <row r="955">
      <c r="B955" s="42" t="n"/>
      <c r="D955" s="12" t="inlineStr">
        <is>
          <t>Cap Throws that work:</t>
        </is>
      </c>
      <c r="E955" s="34" t="inlineStr">
        <is>
          <t>Neutral Throw, Up Throw, Down Throw, Spin Throw</t>
        </is>
      </c>
      <c r="F955" s="34" t="n"/>
      <c r="G955" s="34" t="n"/>
      <c r="H955" s="34" t="n"/>
      <c r="I955" s="34" t="n"/>
      <c r="J955" s="16" t="n"/>
    </row>
    <row r="956">
      <c r="A956" s="43" t="n"/>
      <c r="B956" s="44" t="n"/>
      <c r="C956" s="43" t="n"/>
      <c r="D956" s="19" t="inlineStr">
        <is>
          <t>Other Required:</t>
        </is>
      </c>
      <c r="E956" s="35" t="inlineStr">
        <is>
          <t>Ground Pound</t>
        </is>
      </c>
      <c r="F956" s="35" t="n"/>
      <c r="G956" s="35" t="n"/>
      <c r="H956" s="35" t="n"/>
      <c r="I956" s="35" t="n"/>
      <c r="J956" s="16" t="n"/>
    </row>
    <row r="957">
      <c r="A957" s="41" t="b">
        <v>1</v>
      </c>
      <c r="B957" s="31" t="inlineStr">
        <is>
          <t>Stretch and Traverse the Jungle: Stretch and Traverse the Jungle</t>
        </is>
      </c>
      <c r="C957" s="35" t="inlineStr">
        <is>
          <t>Wiggler</t>
        </is>
      </c>
      <c r="D957" s="12" t="inlineStr">
        <is>
          <t>Minimum Jump Height:</t>
        </is>
      </c>
      <c r="E957" s="34" t="inlineStr">
        <is>
          <t>Single Jump (258)</t>
        </is>
      </c>
      <c r="F957" s="34" t="inlineStr">
        <is>
          <t>Single Jump (258)</t>
        </is>
      </c>
      <c r="G957" s="34" t="inlineStr">
        <is>
          <t>Single Jump (258)</t>
        </is>
      </c>
      <c r="H957" s="34" t="n"/>
      <c r="I957" s="34" t="n"/>
      <c r="J957" s="16" t="n"/>
    </row>
    <row r="958">
      <c r="B958" s="42" t="n"/>
      <c r="D958" s="12" t="inlineStr">
        <is>
          <t>Cap Throws that work:</t>
        </is>
      </c>
      <c r="E958" s="34" t="inlineStr">
        <is>
          <t>No Cap Throw Needed</t>
        </is>
      </c>
      <c r="F958" s="34" t="inlineStr">
        <is>
          <t>No Cap Throw Needed</t>
        </is>
      </c>
      <c r="G958" s="34" t="inlineStr">
        <is>
          <t>No Cap Throw Needed</t>
        </is>
      </c>
      <c r="H958" s="34" t="n"/>
      <c r="I958" s="34" t="n"/>
      <c r="J958" s="16" t="n"/>
    </row>
    <row r="959">
      <c r="A959" s="43" t="n"/>
      <c r="B959" s="44" t="n"/>
      <c r="C959" s="43" t="n"/>
      <c r="D959" s="19" t="inlineStr">
        <is>
          <t>Other Required:</t>
        </is>
      </c>
      <c r="E959" s="35" t="n"/>
      <c r="F959" s="35" t="inlineStr">
        <is>
          <t>Dive</t>
        </is>
      </c>
      <c r="G959" s="35" t="inlineStr">
        <is>
          <t>Capture</t>
        </is>
      </c>
      <c r="H959" s="35" t="n"/>
      <c r="I959" s="35" t="n"/>
      <c r="J959" s="16" t="n"/>
    </row>
    <row r="960">
      <c r="A960" s="41" t="b">
        <v>1</v>
      </c>
      <c r="B960" s="31" t="inlineStr">
        <is>
          <t>Stretch and Traverse the Jungle: Aglow in the Jungle</t>
        </is>
      </c>
      <c r="C960" s="35" t="inlineStr">
        <is>
          <t>Wiggler</t>
        </is>
      </c>
      <c r="D960" s="12" t="inlineStr">
        <is>
          <t>Minimum Jump Height:</t>
        </is>
      </c>
      <c r="E960" s="34" t="inlineStr">
        <is>
          <t>Single Jump (258)</t>
        </is>
      </c>
      <c r="F960" s="34" t="inlineStr">
        <is>
          <t>Single Jump (258)</t>
        </is>
      </c>
      <c r="G960" s="34" t="n"/>
      <c r="H960" s="34" t="n"/>
      <c r="I960" s="34" t="n"/>
      <c r="J960" s="16" t="n"/>
    </row>
    <row r="961">
      <c r="B961" s="42" t="n"/>
      <c r="D961" s="12" t="inlineStr">
        <is>
          <t>Cap Throws that work:</t>
        </is>
      </c>
      <c r="E961" s="34" t="inlineStr">
        <is>
          <t>Neutral Throw, Spin Throw</t>
        </is>
      </c>
      <c r="F961" s="34" t="inlineStr">
        <is>
          <t>No Cap Throw Needed</t>
        </is>
      </c>
      <c r="G961" s="34" t="n"/>
      <c r="H961" s="34" t="n"/>
      <c r="I961" s="34" t="n"/>
      <c r="J961" s="16" t="n"/>
    </row>
    <row r="962">
      <c r="A962" s="43" t="n"/>
      <c r="B962" s="44" t="n"/>
      <c r="C962" s="43" t="n"/>
      <c r="D962" s="19" t="inlineStr">
        <is>
          <t>Other Required:</t>
        </is>
      </c>
      <c r="E962" s="35" t="n"/>
      <c r="F962" s="35" t="inlineStr">
        <is>
          <t>Capture</t>
        </is>
      </c>
      <c r="G962" s="35" t="n"/>
      <c r="H962" s="35" t="n"/>
      <c r="I962" s="35" t="n"/>
      <c r="J962" s="16" t="n"/>
    </row>
    <row r="963">
      <c r="A963" s="41" t="b">
        <v>1</v>
      </c>
      <c r="B963" s="31" t="inlineStr">
        <is>
          <t>Klepto 2 - Lava Boogaloo: Chasing Klepto</t>
        </is>
      </c>
      <c r="C963" s="35" t="n"/>
      <c r="D963" s="12" t="inlineStr">
        <is>
          <t>Minimum Jump Height:</t>
        </is>
      </c>
      <c r="E963" s="34" t="inlineStr">
        <is>
          <t>Single Jump (258)</t>
        </is>
      </c>
      <c r="F963" s="34" t="n"/>
      <c r="G963" s="34" t="n"/>
      <c r="H963" s="34" t="n"/>
      <c r="I963" s="34" t="n"/>
      <c r="J963" s="16" t="n"/>
    </row>
    <row r="964">
      <c r="B964" s="42" t="n"/>
      <c r="D964" s="12" t="inlineStr">
        <is>
          <t>Cap Throws that work:</t>
        </is>
      </c>
      <c r="E964" s="34" t="inlineStr">
        <is>
          <t>Neutral Throw, Up Throw, Down Throw, Spin Throw</t>
        </is>
      </c>
      <c r="F964" s="34" t="n"/>
      <c r="G964" s="34" t="n"/>
      <c r="H964" s="34" t="n"/>
      <c r="I964" s="34" t="n"/>
      <c r="J964" s="16" t="n"/>
    </row>
    <row r="965">
      <c r="A965" s="43" t="n"/>
      <c r="B965" s="44" t="n"/>
      <c r="C965" s="43" t="n"/>
      <c r="D965" s="19" t="inlineStr">
        <is>
          <t>Other Required:</t>
        </is>
      </c>
      <c r="E965" s="35" t="inlineStr">
        <is>
          <t>Ground Pound</t>
        </is>
      </c>
      <c r="F965" s="35" t="n"/>
      <c r="G965" s="35" t="n"/>
      <c r="H965" s="35" t="n"/>
      <c r="I965" s="35" t="n"/>
      <c r="J965" s="16" t="n"/>
    </row>
    <row r="966">
      <c r="A966" s="41" t="b">
        <v>1</v>
      </c>
      <c r="B966" s="31" t="inlineStr">
        <is>
          <t>Klepto 2 - Lava Boogaloo: Extremely Hot Bath</t>
        </is>
      </c>
      <c r="C966" s="35" t="inlineStr">
        <is>
          <t>Lava Bubble</t>
        </is>
      </c>
      <c r="D966" s="12" t="inlineStr">
        <is>
          <t>Minimum Jump Height:</t>
        </is>
      </c>
      <c r="E966" s="34" t="inlineStr">
        <is>
          <t>Single Jump (258)</t>
        </is>
      </c>
      <c r="F966" s="34" t="n"/>
      <c r="G966" s="34" t="n"/>
      <c r="H966" s="34" t="n"/>
      <c r="I966" s="34" t="n"/>
      <c r="J966" s="16" t="n"/>
    </row>
    <row r="967">
      <c r="B967" s="42" t="n"/>
      <c r="D967" s="12" t="inlineStr">
        <is>
          <t>Cap Throws that work:</t>
        </is>
      </c>
      <c r="E967" s="34" t="inlineStr">
        <is>
          <t>Neutral Throw, Up Throw, Down Throw, Spin Throw</t>
        </is>
      </c>
      <c r="F967" s="34" t="n"/>
      <c r="G967" s="34" t="n"/>
      <c r="H967" s="34" t="n"/>
      <c r="I967" s="34" t="n"/>
      <c r="J967" s="16" t="n"/>
    </row>
    <row r="968">
      <c r="A968" s="43" t="n"/>
      <c r="B968" s="44" t="n"/>
      <c r="C968" s="43" t="n"/>
      <c r="D968" s="19" t="inlineStr">
        <is>
          <t>Other Required:</t>
        </is>
      </c>
      <c r="E968" s="35" t="inlineStr">
        <is>
          <t>Ground Pound, Capture</t>
        </is>
      </c>
      <c r="F968" s="35" t="n"/>
      <c r="G968" s="35" t="n"/>
      <c r="H968" s="35" t="n"/>
      <c r="I968" s="35" t="n"/>
      <c r="J968" s="16" t="n"/>
    </row>
    <row r="969">
      <c r="A969" s="41" t="b">
        <v>1</v>
      </c>
      <c r="B969" s="31" t="inlineStr">
        <is>
          <t>Metro Kingdom: New Donk City's Pest Problem</t>
        </is>
      </c>
      <c r="C969" s="35" t="inlineStr">
        <is>
          <t>Sherm</t>
        </is>
      </c>
      <c r="D969" s="12" t="inlineStr">
        <is>
          <t>Minimum Jump Height:</t>
        </is>
      </c>
      <c r="E969" s="34" t="inlineStr">
        <is>
          <t>Single Jump (258)</t>
        </is>
      </c>
      <c r="F969" s="34" t="n"/>
      <c r="G969" s="34" t="n"/>
      <c r="H969" s="34" t="n"/>
      <c r="I969" s="34" t="n"/>
      <c r="J969" s="16" t="n"/>
    </row>
    <row r="970">
      <c r="B970" s="42" t="n"/>
      <c r="D970" s="12" t="inlineStr">
        <is>
          <t>Cap Throws that work:</t>
        </is>
      </c>
      <c r="E970" s="34" t="inlineStr">
        <is>
          <t>Neutral Throw, Up Throw, Down Throw, Spin Throw</t>
        </is>
      </c>
      <c r="F970" s="34" t="n"/>
      <c r="G970" s="34" t="n"/>
      <c r="H970" s="34" t="n"/>
      <c r="I970" s="34" t="n"/>
      <c r="J970" s="16" t="n"/>
    </row>
    <row r="971">
      <c r="A971" s="43" t="n"/>
      <c r="B971" s="44" t="n"/>
      <c r="C971" s="43" t="n"/>
      <c r="D971" s="19" t="inlineStr">
        <is>
          <t>Other Required:</t>
        </is>
      </c>
      <c r="E971" s="35" t="inlineStr">
        <is>
          <t>Capture, Climb</t>
        </is>
      </c>
      <c r="F971" s="35" t="n"/>
      <c r="G971" s="35" t="n"/>
      <c r="H971" s="35" t="n"/>
      <c r="I971" s="35" t="n"/>
      <c r="J971" s="16" t="n"/>
    </row>
    <row r="972">
      <c r="A972" s="41" t="b">
        <v>1</v>
      </c>
      <c r="B972" s="31" t="inlineStr">
        <is>
          <t>Metro Kingdom: Drummer on Board!</t>
        </is>
      </c>
      <c r="C972" s="35" t="n"/>
      <c r="D972" s="12" t="inlineStr">
        <is>
          <t>Minimum Jump Height:</t>
        </is>
      </c>
      <c r="E972" s="34" t="inlineStr">
        <is>
          <t>No Jump Needed</t>
        </is>
      </c>
      <c r="F972" s="34" t="n"/>
      <c r="G972" s="34" t="n"/>
      <c r="H972" s="34" t="n"/>
      <c r="I972" s="34" t="n"/>
      <c r="J972" s="16" t="n"/>
    </row>
    <row r="973">
      <c r="B973" s="42" t="n"/>
      <c r="D973" s="12" t="inlineStr">
        <is>
          <t>Cap Throws that work:</t>
        </is>
      </c>
      <c r="E973" s="34" t="inlineStr">
        <is>
          <t>Neutral Throw, Up Throw, Down Throw, Spin Throw</t>
        </is>
      </c>
      <c r="F973" s="34" t="n"/>
      <c r="G973" s="34" t="n"/>
      <c r="H973" s="34" t="n"/>
      <c r="I973" s="34" t="n"/>
      <c r="J973" s="16" t="n"/>
    </row>
    <row r="974">
      <c r="A974" s="43" t="n"/>
      <c r="B974" s="44" t="n"/>
      <c r="C974" s="43" t="n"/>
      <c r="D974" s="19" t="inlineStr">
        <is>
          <t>Other Required:</t>
        </is>
      </c>
      <c r="E974" s="35" t="inlineStr">
        <is>
          <t>Capture</t>
        </is>
      </c>
      <c r="F974" s="35" t="n"/>
      <c r="G974" s="35" t="n"/>
      <c r="H974" s="35" t="n"/>
      <c r="I974" s="35" t="n"/>
      <c r="J974" s="16" t="n"/>
    </row>
    <row r="975">
      <c r="A975" s="41" t="b">
        <v>1</v>
      </c>
      <c r="B975" s="31" t="inlineStr">
        <is>
          <t>Metro Kingdom: Guitarist on Board!</t>
        </is>
      </c>
      <c r="C975" s="35" t="n"/>
      <c r="D975" s="12" t="inlineStr">
        <is>
          <t>Minimum Jump Height:</t>
        </is>
      </c>
      <c r="E975" s="34" t="inlineStr">
        <is>
          <t>No Jump Needed</t>
        </is>
      </c>
      <c r="F975" s="34" t="n"/>
      <c r="G975" s="34" t="n"/>
      <c r="H975" s="34" t="n"/>
      <c r="I975" s="34" t="n"/>
      <c r="J975" s="16" t="n"/>
    </row>
    <row r="976">
      <c r="B976" s="42" t="n"/>
      <c r="D976" s="12" t="inlineStr">
        <is>
          <t>Cap Throws that work:</t>
        </is>
      </c>
      <c r="E976" s="34" t="inlineStr">
        <is>
          <t>Neutral Throw, Up Throw, Down Throw, Spin Throw</t>
        </is>
      </c>
      <c r="F976" s="34" t="n"/>
      <c r="G976" s="34" t="n"/>
      <c r="H976" s="34" t="n"/>
      <c r="I976" s="34" t="n"/>
      <c r="J976" s="16" t="n"/>
    </row>
    <row r="977">
      <c r="A977" s="43" t="n"/>
      <c r="B977" s="44" t="n"/>
      <c r="C977" s="43" t="n"/>
      <c r="D977" s="19" t="inlineStr">
        <is>
          <t>Other Required:</t>
        </is>
      </c>
      <c r="E977" s="35" t="inlineStr">
        <is>
          <t>Capture</t>
        </is>
      </c>
      <c r="F977" s="35" t="n"/>
      <c r="G977" s="35" t="n"/>
      <c r="H977" s="35" t="n"/>
      <c r="I977" s="35" t="n"/>
      <c r="J977" s="16" t="n"/>
    </row>
    <row r="978">
      <c r="A978" s="41" t="b">
        <v>1</v>
      </c>
      <c r="B978" s="31" t="inlineStr">
        <is>
          <t>Metro Kingdom: Bassist on Board!</t>
        </is>
      </c>
      <c r="C978" s="35" t="n"/>
      <c r="D978" s="12" t="inlineStr">
        <is>
          <t>Minimum Jump Height:</t>
        </is>
      </c>
      <c r="E978" s="34" t="inlineStr">
        <is>
          <t>No Jump Needed</t>
        </is>
      </c>
      <c r="F978" s="34" t="n"/>
      <c r="G978" s="34" t="n"/>
      <c r="H978" s="34" t="n"/>
      <c r="I978" s="34" t="n"/>
      <c r="J978" s="16" t="n"/>
    </row>
    <row r="979">
      <c r="B979" s="42" t="n"/>
      <c r="D979" s="12" t="inlineStr">
        <is>
          <t>Cap Throws that work:</t>
        </is>
      </c>
      <c r="E979" s="34" t="inlineStr">
        <is>
          <t>Neutral Throw, Up Throw, Down Throw, Spin Throw</t>
        </is>
      </c>
      <c r="F979" s="34" t="n"/>
      <c r="G979" s="34" t="n"/>
      <c r="H979" s="34" t="n"/>
      <c r="I979" s="34" t="n"/>
      <c r="J979" s="16" t="n"/>
    </row>
    <row r="980">
      <c r="A980" s="43" t="n"/>
      <c r="B980" s="44" t="n"/>
      <c r="C980" s="43" t="n"/>
      <c r="D980" s="19" t="inlineStr">
        <is>
          <t>Other Required:</t>
        </is>
      </c>
      <c r="E980" s="35" t="inlineStr">
        <is>
          <t>Capture</t>
        </is>
      </c>
      <c r="F980" s="35" t="n"/>
      <c r="G980" s="35" t="n"/>
      <c r="H980" s="35" t="n"/>
      <c r="I980" s="35" t="n"/>
      <c r="J980" s="16" t="n"/>
    </row>
    <row r="981">
      <c r="A981" s="41" t="b">
        <v>1</v>
      </c>
      <c r="B981" s="31" t="inlineStr">
        <is>
          <t>Metro Kingdom: Trumpeter on Board!</t>
        </is>
      </c>
      <c r="C981" s="35" t="n"/>
      <c r="D981" s="12" t="inlineStr">
        <is>
          <t>Minimum Jump Height:</t>
        </is>
      </c>
      <c r="E981" s="34" t="inlineStr">
        <is>
          <t>No Jump Needed</t>
        </is>
      </c>
      <c r="F981" s="34" t="n"/>
      <c r="G981" s="34" t="n"/>
      <c r="H981" s="34" t="n"/>
      <c r="I981" s="34" t="n"/>
      <c r="J981" s="16" t="n"/>
    </row>
    <row r="982">
      <c r="B982" s="42" t="n"/>
      <c r="D982" s="12" t="inlineStr">
        <is>
          <t>Cap Throws that work:</t>
        </is>
      </c>
      <c r="E982" s="34" t="inlineStr">
        <is>
          <t>Neutral Throw, Up Throw, Down Throw, Spin Throw</t>
        </is>
      </c>
      <c r="F982" s="34" t="n"/>
      <c r="G982" s="34" t="n"/>
      <c r="H982" s="34" t="n"/>
      <c r="I982" s="34" t="n"/>
      <c r="J982" s="16" t="n"/>
    </row>
    <row r="983">
      <c r="A983" s="43" t="n"/>
      <c r="B983" s="44" t="n"/>
      <c r="C983" s="43" t="n"/>
      <c r="D983" s="19" t="inlineStr">
        <is>
          <t>Other Required:</t>
        </is>
      </c>
      <c r="E983" s="35" t="inlineStr">
        <is>
          <t>Capture</t>
        </is>
      </c>
      <c r="F983" s="35" t="n"/>
      <c r="G983" s="35" t="n"/>
      <c r="H983" s="35" t="n"/>
      <c r="I983" s="35" t="n"/>
      <c r="J983" s="16" t="n"/>
    </row>
    <row r="984">
      <c r="A984" s="41" t="b">
        <v>1</v>
      </c>
      <c r="B984" s="31" t="inlineStr">
        <is>
          <t>Sewers: Powering Up the Station</t>
        </is>
      </c>
      <c r="C984" s="35" t="n"/>
      <c r="D984" s="12" t="inlineStr">
        <is>
          <t>Minimum Jump Height:</t>
        </is>
      </c>
      <c r="E984" s="34" t="inlineStr">
        <is>
          <t>Single Jump (258)</t>
        </is>
      </c>
      <c r="F984" s="34" t="inlineStr">
        <is>
          <t>Cap Return Jump (400)</t>
        </is>
      </c>
      <c r="G984" s="34" t="n"/>
      <c r="H984" s="34" t="n"/>
      <c r="I984" s="34" t="n"/>
      <c r="J984" s="16" t="n"/>
    </row>
    <row r="985">
      <c r="B985" s="42" t="n"/>
      <c r="D985" s="12" t="inlineStr">
        <is>
          <t>Cap Throws that work:</t>
        </is>
      </c>
      <c r="E985" s="34" t="inlineStr">
        <is>
          <t>Neutral Throw, Spin Throw</t>
        </is>
      </c>
      <c r="F985" s="34" t="inlineStr">
        <is>
          <t>Neutral Throw, Up Throw, Down Throw, Spin Throw</t>
        </is>
      </c>
      <c r="G985" s="34" t="n"/>
      <c r="H985" s="34" t="n"/>
      <c r="I985" s="34" t="n"/>
      <c r="J985" s="16" t="n"/>
    </row>
    <row r="986">
      <c r="A986" s="43" t="n"/>
      <c r="B986" s="44" t="n"/>
      <c r="C986" s="43" t="n"/>
      <c r="D986" s="19" t="inlineStr">
        <is>
          <t>Other Required:</t>
        </is>
      </c>
      <c r="E986" s="35" t="inlineStr">
        <is>
          <t>Ground Pound</t>
        </is>
      </c>
      <c r="F986" s="35" t="inlineStr">
        <is>
          <t>Ground Pound</t>
        </is>
      </c>
      <c r="G986" s="35" t="n"/>
      <c r="H986" s="35" t="n"/>
      <c r="I986" s="35" t="n"/>
      <c r="J986" s="16" t="n"/>
    </row>
    <row r="987">
      <c r="A987" s="41" t="b">
        <v>1</v>
      </c>
      <c r="B987" s="31" t="inlineStr">
        <is>
          <t>Metro Kingdom: A Traditional Festival!</t>
        </is>
      </c>
      <c r="C987" s="35" t="n"/>
      <c r="D987" s="12" t="inlineStr">
        <is>
          <t>Minimum Jump Height:</t>
        </is>
      </c>
      <c r="E987" s="34" t="inlineStr">
        <is>
          <t>Single Jump (258)</t>
        </is>
      </c>
      <c r="F987" s="34" t="n"/>
      <c r="G987" s="34" t="n"/>
      <c r="H987" s="34" t="n"/>
      <c r="I987" s="34" t="n"/>
      <c r="J987" s="16" t="n"/>
    </row>
    <row r="988">
      <c r="B988" s="42" t="n"/>
      <c r="D988" s="12" t="inlineStr">
        <is>
          <t>Cap Throws that work:</t>
        </is>
      </c>
      <c r="E988" s="34" t="inlineStr">
        <is>
          <t>No Cap Throw Needed</t>
        </is>
      </c>
      <c r="F988" s="34" t="n"/>
      <c r="G988" s="34" t="n"/>
      <c r="H988" s="34" t="n"/>
      <c r="I988" s="34" t="n"/>
      <c r="J988" s="16" t="n"/>
    </row>
    <row r="989">
      <c r="A989" s="43" t="n"/>
      <c r="B989" s="44" t="n"/>
      <c r="C989" s="43" t="n"/>
      <c r="D989" s="19" t="inlineStr">
        <is>
          <t>Other Required:</t>
        </is>
      </c>
      <c r="E989" s="35" t="n"/>
      <c r="F989" s="35" t="n"/>
      <c r="G989" s="35" t="n"/>
      <c r="H989" s="35" t="n"/>
      <c r="I989" s="35" t="n"/>
      <c r="J989" s="16" t="n"/>
    </row>
    <row r="990">
      <c r="A990" s="41" t="b">
        <v>1</v>
      </c>
      <c r="B990" s="31" t="inlineStr">
        <is>
          <t>Metro Kingdom: Inside an Iron Girder</t>
        </is>
      </c>
      <c r="C990" s="35" t="n"/>
      <c r="D990" s="12" t="inlineStr">
        <is>
          <t>Minimum Jump Height:</t>
        </is>
      </c>
      <c r="E990" s="34" t="inlineStr">
        <is>
          <t>Long Jump</t>
        </is>
      </c>
      <c r="F990" s="34" t="n"/>
      <c r="G990" s="34" t="n"/>
      <c r="H990" s="34" t="n"/>
      <c r="I990" s="34" t="n"/>
      <c r="J990" s="16" t="n"/>
    </row>
    <row r="991">
      <c r="B991" s="42" t="n"/>
      <c r="D991" s="12" t="inlineStr">
        <is>
          <t>Cap Throws that work:</t>
        </is>
      </c>
      <c r="E991" s="34" t="inlineStr">
        <is>
          <t>Neutral Throw, Up Throw, Down Throw, Spin Throw</t>
        </is>
      </c>
      <c r="F991" s="34" t="n"/>
      <c r="G991" s="34" t="n"/>
      <c r="H991" s="34" t="n"/>
      <c r="I991" s="34" t="n"/>
      <c r="J991" s="16" t="n"/>
    </row>
    <row r="992">
      <c r="A992" s="43" t="n"/>
      <c r="B992" s="44" t="n"/>
      <c r="C992" s="43" t="n"/>
      <c r="D992" s="19" t="inlineStr">
        <is>
          <t>Other Required:</t>
        </is>
      </c>
      <c r="E992" s="35" t="inlineStr">
        <is>
          <t>Capture</t>
        </is>
      </c>
      <c r="F992" s="35" t="n"/>
      <c r="G992" s="35" t="n"/>
      <c r="H992" s="35" t="n"/>
      <c r="I992" s="35" t="n"/>
      <c r="J992" s="16" t="n"/>
    </row>
    <row r="993">
      <c r="A993" s="41" t="b">
        <v>1</v>
      </c>
      <c r="B993" s="31" t="inlineStr">
        <is>
          <t>Metro Kingdom: Swaying in the Breeze</t>
        </is>
      </c>
      <c r="C993" s="35" t="n"/>
      <c r="D993" s="12" t="inlineStr">
        <is>
          <t>Minimum Jump Height:</t>
        </is>
      </c>
      <c r="E993" s="34" t="inlineStr">
        <is>
          <t>Long Jump</t>
        </is>
      </c>
      <c r="F993" s="34" t="n"/>
      <c r="G993" s="34" t="n"/>
      <c r="H993" s="34" t="n"/>
      <c r="I993" s="34" t="n"/>
      <c r="J993" s="16" t="n"/>
    </row>
    <row r="994">
      <c r="B994" s="42" t="n"/>
      <c r="D994" s="12" t="inlineStr">
        <is>
          <t>Cap Throws that work:</t>
        </is>
      </c>
      <c r="E994" s="34" t="inlineStr">
        <is>
          <t>Neutral Throw, Up Throw, Down Throw, Spin Throw</t>
        </is>
      </c>
      <c r="F994" s="34" t="n"/>
      <c r="G994" s="34" t="n"/>
      <c r="H994" s="34" t="n"/>
      <c r="I994" s="34" t="n"/>
      <c r="J994" s="16" t="n"/>
    </row>
    <row r="995">
      <c r="A995" s="43" t="n"/>
      <c r="B995" s="44" t="n"/>
      <c r="C995" s="43" t="n"/>
      <c r="D995" s="19" t="inlineStr">
        <is>
          <t>Other Required:</t>
        </is>
      </c>
      <c r="E995" s="35" t="inlineStr">
        <is>
          <t>Capture</t>
        </is>
      </c>
      <c r="F995" s="35" t="n"/>
      <c r="G995" s="35" t="n"/>
      <c r="H995" s="35" t="n"/>
      <c r="I995" s="35" t="n"/>
      <c r="J995" s="16" t="n"/>
    </row>
    <row r="996">
      <c r="A996" s="41" t="b">
        <v>1</v>
      </c>
      <c r="B996" s="31" t="inlineStr">
        <is>
          <t>Metro Kingdom: Girder Sandwich</t>
        </is>
      </c>
      <c r="C996" s="35" t="n"/>
      <c r="D996" s="12" t="inlineStr">
        <is>
          <t>Minimum Jump Height:</t>
        </is>
      </c>
      <c r="E996" s="34" t="inlineStr">
        <is>
          <t>Long Jump</t>
        </is>
      </c>
      <c r="F996" s="34" t="inlineStr">
        <is>
          <t>Long Jump</t>
        </is>
      </c>
      <c r="G996" s="34" t="n"/>
      <c r="H996" s="34" t="n"/>
      <c r="I996" s="34" t="n"/>
      <c r="J996" s="16" t="n"/>
    </row>
    <row r="997">
      <c r="B997" s="42" t="n"/>
      <c r="D997" s="12" t="inlineStr">
        <is>
          <t>Cap Throws that work:</t>
        </is>
      </c>
      <c r="E997" s="34" t="inlineStr">
        <is>
          <t>Neutral Throw, Up Throw, Down Throw, Spin Throw</t>
        </is>
      </c>
      <c r="F997" s="34" t="inlineStr">
        <is>
          <t>Neutral Throw, Up Throw, Down Throw, Spin Throw</t>
        </is>
      </c>
      <c r="G997" s="34" t="n"/>
      <c r="H997" s="34" t="n"/>
      <c r="I997" s="34" t="n"/>
      <c r="J997" s="16" t="n"/>
    </row>
    <row r="998">
      <c r="A998" s="43" t="n"/>
      <c r="B998" s="44" t="n"/>
      <c r="C998" s="43" t="n"/>
      <c r="D998" s="19" t="inlineStr">
        <is>
          <t>Other Required:</t>
        </is>
      </c>
      <c r="E998" s="35" t="inlineStr">
        <is>
          <t>Capture, Wall Slide</t>
        </is>
      </c>
      <c r="F998" s="35" t="inlineStr">
        <is>
          <t>Capture, Climb</t>
        </is>
      </c>
      <c r="G998" s="35" t="n"/>
      <c r="H998" s="35" t="n"/>
      <c r="I998" s="35" t="n"/>
      <c r="J998" s="16" t="n"/>
    </row>
    <row r="999">
      <c r="A999" s="41" t="b">
        <v>1</v>
      </c>
      <c r="B999" s="31" t="inlineStr">
        <is>
          <t>Metro Kingdom: Glittering Above the Pool</t>
        </is>
      </c>
      <c r="C999" s="35" t="n"/>
      <c r="D999" s="12" t="inlineStr">
        <is>
          <t>Minimum Jump Height:</t>
        </is>
      </c>
      <c r="E999" s="34" t="inlineStr">
        <is>
          <t>Single Jump (258)</t>
        </is>
      </c>
      <c r="F999" s="34" t="n"/>
      <c r="G999" s="34" t="n"/>
      <c r="H999" s="34" t="n"/>
      <c r="I999" s="34" t="n"/>
      <c r="J999" s="16" t="n"/>
    </row>
    <row r="1000">
      <c r="B1000" s="42" t="n"/>
      <c r="D1000" s="12" t="inlineStr">
        <is>
          <t>Cap Throws that work:</t>
        </is>
      </c>
      <c r="E1000" s="34" t="inlineStr">
        <is>
          <t>Neutral Throw, Up Throw, Down Throw, Spin Throw</t>
        </is>
      </c>
      <c r="F1000" s="34" t="n"/>
      <c r="G1000" s="34" t="n"/>
      <c r="H1000" s="34" t="n"/>
      <c r="I1000" s="34" t="n"/>
      <c r="J1000" s="16" t="n"/>
    </row>
    <row r="1001">
      <c r="A1001" s="43" t="n"/>
      <c r="B1001" s="44" t="n"/>
      <c r="C1001" s="43" t="n"/>
      <c r="D1001" s="19" t="inlineStr">
        <is>
          <t>Other Required:</t>
        </is>
      </c>
      <c r="E1001" s="35" t="inlineStr">
        <is>
          <t>Climb, Capture</t>
        </is>
      </c>
      <c r="F1001" s="35" t="n"/>
      <c r="G1001" s="35" t="n"/>
      <c r="H1001" s="35" t="n"/>
      <c r="I1001" s="35" t="n"/>
      <c r="J1001" s="16" t="n"/>
    </row>
    <row r="1002">
      <c r="A1002" s="41" t="b">
        <v>1</v>
      </c>
      <c r="B1002" s="31" t="inlineStr">
        <is>
          <t>Metro Kingdom: Dizzying Heights</t>
        </is>
      </c>
      <c r="C1002" s="35" t="n"/>
      <c r="D1002" s="12" t="inlineStr">
        <is>
          <t>Minimum Jump Height:</t>
        </is>
      </c>
      <c r="E1002" s="34" t="inlineStr">
        <is>
          <t>Single Jump (258)</t>
        </is>
      </c>
      <c r="F1002" s="34" t="n"/>
      <c r="G1002" s="34" t="n"/>
      <c r="H1002" s="34" t="n"/>
      <c r="I1002" s="34" t="n"/>
      <c r="J1002" s="16" t="n"/>
    </row>
    <row r="1003">
      <c r="B1003" s="42" t="n"/>
      <c r="D1003" s="12" t="inlineStr">
        <is>
          <t>Cap Throws that work:</t>
        </is>
      </c>
      <c r="E1003" s="34" t="inlineStr">
        <is>
          <t>Neutral Throw, Up Throw, Down Throw, Spin Throw</t>
        </is>
      </c>
      <c r="F1003" s="34" t="n"/>
      <c r="G1003" s="34" t="n"/>
      <c r="H1003" s="34" t="n"/>
      <c r="I1003" s="34" t="n"/>
      <c r="J1003" s="16" t="n"/>
    </row>
    <row r="1004">
      <c r="A1004" s="43" t="n"/>
      <c r="B1004" s="44" t="n"/>
      <c r="C1004" s="43" t="n"/>
      <c r="D1004" s="19" t="inlineStr">
        <is>
          <t>Other Required:</t>
        </is>
      </c>
      <c r="E1004" s="35" t="inlineStr">
        <is>
          <t>Capture, Climb</t>
        </is>
      </c>
      <c r="F1004" s="35" t="n"/>
      <c r="G1004" s="35" t="n"/>
      <c r="H1004" s="35" t="n"/>
      <c r="I1004" s="35" t="n"/>
      <c r="J1004" s="16" t="n"/>
    </row>
    <row r="1005">
      <c r="A1005" s="41" t="b">
        <v>1</v>
      </c>
      <c r="B1005" s="31" t="inlineStr">
        <is>
          <t>Metro Kingdom: Secret Girder Tunnel!</t>
        </is>
      </c>
      <c r="C1005" s="35" t="n"/>
      <c r="D1005" s="12" t="inlineStr">
        <is>
          <t>Minimum Jump Height:</t>
        </is>
      </c>
      <c r="E1005" s="34" t="inlineStr">
        <is>
          <t>No Jump Needed</t>
        </is>
      </c>
      <c r="F1005" s="34" t="n"/>
      <c r="G1005" s="34" t="n"/>
      <c r="H1005" s="34" t="n"/>
      <c r="I1005" s="34" t="n"/>
      <c r="J1005" s="16" t="n"/>
    </row>
    <row r="1006">
      <c r="B1006" s="42" t="n"/>
      <c r="D1006" s="12" t="inlineStr">
        <is>
          <t>Cap Throws that work:</t>
        </is>
      </c>
      <c r="E1006" s="34" t="inlineStr">
        <is>
          <t>No Cap Throw Needed</t>
        </is>
      </c>
      <c r="F1006" s="34" t="n"/>
      <c r="G1006" s="34" t="n"/>
      <c r="H1006" s="34" t="n"/>
      <c r="I1006" s="34" t="n"/>
      <c r="J1006" s="16" t="n"/>
    </row>
    <row r="1007">
      <c r="A1007" s="43" t="n"/>
      <c r="B1007" s="44" t="n"/>
      <c r="C1007" s="43" t="n"/>
      <c r="D1007" s="19" t="inlineStr">
        <is>
          <t>Other Required:</t>
        </is>
      </c>
      <c r="E1007" s="35" t="inlineStr">
        <is>
          <t>None</t>
        </is>
      </c>
      <c r="F1007" s="35" t="n"/>
      <c r="G1007" s="35" t="n"/>
      <c r="H1007" s="35" t="n"/>
      <c r="I1007" s="35" t="n"/>
      <c r="J1007" s="16" t="n"/>
    </row>
    <row r="1008">
      <c r="A1008" s="41" t="b">
        <v>1</v>
      </c>
      <c r="B1008" s="31" t="inlineStr">
        <is>
          <t>Metro Kingdom: Who Piled Garbage on This?</t>
        </is>
      </c>
      <c r="C1008" s="35" t="n"/>
      <c r="D1008" s="12" t="inlineStr">
        <is>
          <t>Minimum Jump Height:</t>
        </is>
      </c>
      <c r="E1008" s="34" t="inlineStr">
        <is>
          <t>Long Jump</t>
        </is>
      </c>
      <c r="F1008" s="34" t="n"/>
      <c r="G1008" s="34" t="n"/>
      <c r="H1008" s="34" t="n"/>
      <c r="I1008" s="34" t="n"/>
      <c r="J1008" s="16" t="n"/>
    </row>
    <row r="1009">
      <c r="B1009" s="42" t="n"/>
      <c r="D1009" s="12" t="inlineStr">
        <is>
          <t>Cap Throws that work:</t>
        </is>
      </c>
      <c r="E1009" s="34" t="inlineStr">
        <is>
          <t>Neutral Throw, Up Throw, Down Throw, Spin Throw</t>
        </is>
      </c>
      <c r="F1009" s="34" t="n"/>
      <c r="G1009" s="34" t="n"/>
      <c r="H1009" s="34" t="n"/>
      <c r="I1009" s="34" t="n"/>
      <c r="J1009" s="16" t="n"/>
    </row>
    <row r="1010">
      <c r="A1010" s="43" t="n"/>
      <c r="B1010" s="44" t="n"/>
      <c r="C1010" s="43" t="n"/>
      <c r="D1010" s="19" t="inlineStr">
        <is>
          <t>Other Required:</t>
        </is>
      </c>
      <c r="E1010" s="35" t="inlineStr">
        <is>
          <t>Capture, Ground Pound</t>
        </is>
      </c>
      <c r="F1010" s="35" t="n"/>
      <c r="G1010" s="35" t="n"/>
      <c r="H1010" s="35" t="n"/>
      <c r="I1010" s="35" t="n"/>
      <c r="J1010" s="16" t="n"/>
    </row>
    <row r="1011">
      <c r="A1011" s="41" t="b">
        <v>1</v>
      </c>
      <c r="B1011" s="31" t="inlineStr">
        <is>
          <t>Metro Kingdom: Hidden in the Scrap</t>
        </is>
      </c>
      <c r="C1011" s="35" t="n"/>
      <c r="D1011" s="12" t="inlineStr">
        <is>
          <t>Minimum Jump Height:</t>
        </is>
      </c>
      <c r="E1011" s="34" t="inlineStr">
        <is>
          <t>No Jump Needed</t>
        </is>
      </c>
      <c r="F1011" s="34" t="n"/>
      <c r="G1011" s="34" t="n"/>
      <c r="H1011" s="34" t="n"/>
      <c r="I1011" s="34" t="n"/>
      <c r="J1011" s="16" t="n"/>
    </row>
    <row r="1012">
      <c r="B1012" s="42" t="n"/>
      <c r="D1012" s="12" t="inlineStr">
        <is>
          <t>Cap Throws that work:</t>
        </is>
      </c>
      <c r="E1012" s="34" t="inlineStr">
        <is>
          <t>Neutral Throw, Up Throw, Down Throw, Spin Throw</t>
        </is>
      </c>
      <c r="F1012" s="34" t="n"/>
      <c r="G1012" s="34" t="n"/>
      <c r="H1012" s="34" t="n"/>
      <c r="I1012" s="34" t="n"/>
      <c r="J1012" s="16" t="n"/>
    </row>
    <row r="1013">
      <c r="A1013" s="43" t="n"/>
      <c r="B1013" s="44" t="n"/>
      <c r="C1013" s="43" t="n"/>
      <c r="D1013" s="19" t="inlineStr">
        <is>
          <t>Other Required:</t>
        </is>
      </c>
      <c r="E1013" s="35" t="inlineStr">
        <is>
          <t>Capture, Ground Pound</t>
        </is>
      </c>
      <c r="F1013" s="35" t="n"/>
      <c r="G1013" s="35" t="n"/>
      <c r="H1013" s="35" t="n"/>
      <c r="I1013" s="35" t="n"/>
      <c r="J1013" s="16" t="n"/>
    </row>
    <row r="1014">
      <c r="A1014" s="41" t="b">
        <v>1</v>
      </c>
      <c r="B1014" s="31" t="inlineStr">
        <is>
          <t>Metro Kingdom: Left at the Café?</t>
        </is>
      </c>
      <c r="C1014" s="35" t="n"/>
      <c r="D1014" s="12" t="inlineStr">
        <is>
          <t>Minimum Jump Height:</t>
        </is>
      </c>
      <c r="E1014" s="34" t="inlineStr">
        <is>
          <t>Long Jump</t>
        </is>
      </c>
      <c r="F1014" s="34" t="n"/>
      <c r="G1014" s="34" t="n"/>
      <c r="H1014" s="34" t="n"/>
      <c r="I1014" s="34" t="n"/>
      <c r="J1014" s="16" t="n"/>
    </row>
    <row r="1015">
      <c r="B1015" s="42" t="n"/>
      <c r="D1015" s="12" t="inlineStr">
        <is>
          <t>Cap Throws that work:</t>
        </is>
      </c>
      <c r="E1015" s="34" t="inlineStr">
        <is>
          <t>Neutral Throw, Up Throw, Down Throw, Spin Throw</t>
        </is>
      </c>
      <c r="F1015" s="34" t="n"/>
      <c r="G1015" s="34" t="n"/>
      <c r="H1015" s="34" t="n"/>
      <c r="I1015" s="34" t="n"/>
      <c r="J1015" s="16" t="n"/>
    </row>
    <row r="1016">
      <c r="A1016" s="43" t="n"/>
      <c r="B1016" s="44" t="n"/>
      <c r="C1016" s="43" t="n"/>
      <c r="D1016" s="19" t="inlineStr">
        <is>
          <t>Other Required:</t>
        </is>
      </c>
      <c r="E1016" s="35" t="inlineStr">
        <is>
          <t>Capture, Ground Pound</t>
        </is>
      </c>
      <c r="F1016" s="35" t="n"/>
      <c r="G1016" s="35" t="n"/>
      <c r="H1016" s="35" t="n"/>
      <c r="I1016" s="35" t="n"/>
      <c r="J1016" s="16" t="n"/>
    </row>
    <row r="1017">
      <c r="A1017" s="41" t="b">
        <v>1</v>
      </c>
      <c r="B1017" s="31" t="inlineStr">
        <is>
          <t>Metro Kingdom: Caught Hopping on a Building!</t>
        </is>
      </c>
      <c r="C1017" s="35" t="n"/>
      <c r="D1017" s="12" t="inlineStr">
        <is>
          <t>Minimum Jump Height:</t>
        </is>
      </c>
      <c r="E1017" s="34" t="inlineStr">
        <is>
          <t>Single Jump (258)</t>
        </is>
      </c>
      <c r="F1017" s="34" t="n"/>
      <c r="G1017" s="34" t="n"/>
      <c r="H1017" s="34" t="n"/>
      <c r="I1017" s="34" t="n"/>
      <c r="J1017" s="16" t="n"/>
    </row>
    <row r="1018">
      <c r="B1018" s="42" t="n"/>
      <c r="D1018" s="12" t="inlineStr">
        <is>
          <t>Cap Throws that work:</t>
        </is>
      </c>
      <c r="E1018" s="34" t="inlineStr">
        <is>
          <t>Neutral Throw, Up Throw, Down Throw, Spin Throw</t>
        </is>
      </c>
      <c r="F1018" s="34" t="n"/>
      <c r="G1018" s="34" t="n"/>
      <c r="H1018" s="34" t="n"/>
      <c r="I1018" s="34" t="n"/>
      <c r="J1018" s="16" t="n"/>
    </row>
    <row r="1019">
      <c r="A1019" s="43" t="n"/>
      <c r="B1019" s="44" t="n"/>
      <c r="C1019" s="43" t="n"/>
      <c r="D1019" s="19" t="inlineStr">
        <is>
          <t>Other Required:</t>
        </is>
      </c>
      <c r="E1019" s="35" t="inlineStr">
        <is>
          <t>Capture</t>
        </is>
      </c>
      <c r="F1019" s="35" t="n"/>
      <c r="G1019" s="35" t="n"/>
      <c r="H1019" s="35" t="n"/>
      <c r="I1019" s="35" t="n"/>
      <c r="J1019" s="16" t="n"/>
    </row>
    <row r="1020">
      <c r="A1020" s="41" t="b">
        <v>1</v>
      </c>
      <c r="B1020" s="31" t="inlineStr">
        <is>
          <t>Metro Kingdom: How Do They Take Out the Trash?</t>
        </is>
      </c>
      <c r="C1020" s="35" t="n"/>
      <c r="D1020" s="12" t="inlineStr">
        <is>
          <t>Minimum Jump Height:</t>
        </is>
      </c>
      <c r="E1020" s="34" t="inlineStr">
        <is>
          <t>Long Jump</t>
        </is>
      </c>
      <c r="F1020" s="34" t="n"/>
      <c r="G1020" s="34" t="n"/>
      <c r="H1020" s="34" t="n"/>
      <c r="I1020" s="34" t="n"/>
      <c r="J1020" s="16" t="n"/>
    </row>
    <row r="1021">
      <c r="B1021" s="42" t="n"/>
      <c r="D1021" s="12" t="inlineStr">
        <is>
          <t>Cap Throws that work:</t>
        </is>
      </c>
      <c r="E1021" s="34" t="inlineStr">
        <is>
          <t>Neutral Throw, Up Throw, Down Throw, Spin Throw</t>
        </is>
      </c>
      <c r="F1021" s="34" t="n"/>
      <c r="G1021" s="34" t="n"/>
      <c r="H1021" s="34" t="n"/>
      <c r="I1021" s="34" t="n"/>
      <c r="J1021" s="16" t="n"/>
    </row>
    <row r="1022">
      <c r="A1022" s="43" t="n"/>
      <c r="B1022" s="44" t="n"/>
      <c r="C1022" s="43" t="n"/>
      <c r="D1022" s="19" t="inlineStr">
        <is>
          <t>Other Required:</t>
        </is>
      </c>
      <c r="E1022" s="35" t="inlineStr">
        <is>
          <t>Capture</t>
        </is>
      </c>
      <c r="F1022" s="35" t="n"/>
      <c r="G1022" s="35" t="n"/>
      <c r="H1022" s="35" t="n"/>
      <c r="I1022" s="35" t="n"/>
      <c r="J1022" s="16" t="n"/>
    </row>
    <row r="1023">
      <c r="A1023" s="41" t="b">
        <v>1</v>
      </c>
      <c r="B1023" s="31" t="inlineStr">
        <is>
          <t>Metro Kingdom: Metro Kingdom Timer Challenge 1</t>
        </is>
      </c>
      <c r="C1023" s="35" t="n"/>
      <c r="D1023" s="12" t="inlineStr">
        <is>
          <t>Minimum Jump Height:</t>
        </is>
      </c>
      <c r="E1023" s="34" t="inlineStr">
        <is>
          <t>Single Jump (258)</t>
        </is>
      </c>
      <c r="F1023" s="34" t="n"/>
      <c r="G1023" s="34" t="n"/>
      <c r="H1023" s="34" t="n"/>
      <c r="I1023" s="34" t="n"/>
      <c r="J1023" s="16" t="n"/>
    </row>
    <row r="1024">
      <c r="B1024" s="42" t="n"/>
      <c r="D1024" s="12" t="inlineStr">
        <is>
          <t>Cap Throws that work:</t>
        </is>
      </c>
      <c r="E1024" s="34" t="inlineStr">
        <is>
          <t>Neutral Throw, Up Throw, Down Throw, Spin Throw</t>
        </is>
      </c>
      <c r="F1024" s="34" t="n"/>
      <c r="G1024" s="34" t="n"/>
      <c r="H1024" s="34" t="n"/>
      <c r="I1024" s="34" t="n"/>
      <c r="J1024" s="16" t="n"/>
    </row>
    <row r="1025">
      <c r="A1025" s="43" t="n"/>
      <c r="B1025" s="44" t="n"/>
      <c r="C1025" s="43" t="n"/>
      <c r="D1025" s="19" t="inlineStr">
        <is>
          <t>Other Required:</t>
        </is>
      </c>
      <c r="E1025" s="35" t="inlineStr">
        <is>
          <t>Capture</t>
        </is>
      </c>
      <c r="F1025" s="35" t="n"/>
      <c r="G1025" s="35" t="n"/>
      <c r="H1025" s="35" t="n"/>
      <c r="I1025" s="35" t="n"/>
      <c r="J1025" s="16" t="n"/>
    </row>
    <row r="1026">
      <c r="A1026" s="41" t="b">
        <v>1</v>
      </c>
      <c r="B1026" s="31" t="inlineStr">
        <is>
          <t>Metro Kingdom: Metro Kingdom Timer Challenge 2</t>
        </is>
      </c>
      <c r="C1026" s="35" t="n"/>
      <c r="D1026" s="12" t="inlineStr">
        <is>
          <t>Minimum Jump Height:</t>
        </is>
      </c>
      <c r="E1026" s="34" t="inlineStr">
        <is>
          <t>No Jump Needed</t>
        </is>
      </c>
      <c r="F1026" s="34" t="n"/>
      <c r="G1026" s="34" t="n"/>
      <c r="H1026" s="34" t="n"/>
      <c r="I1026" s="34" t="n"/>
      <c r="J1026" s="16" t="n"/>
    </row>
    <row r="1027">
      <c r="B1027" s="42" t="n"/>
      <c r="D1027" s="12" t="inlineStr">
        <is>
          <t>Cap Throws that work:</t>
        </is>
      </c>
      <c r="E1027" s="34" t="inlineStr">
        <is>
          <t>Neutral Throw, Up Throw, Down Throw, Spin Throw</t>
        </is>
      </c>
      <c r="F1027" s="34" t="n"/>
      <c r="G1027" s="34" t="n"/>
      <c r="H1027" s="34" t="n"/>
      <c r="I1027" s="34" t="n"/>
      <c r="J1027" s="16" t="n"/>
    </row>
    <row r="1028">
      <c r="A1028" s="43" t="n"/>
      <c r="B1028" s="44" t="n"/>
      <c r="C1028" s="43" t="n"/>
      <c r="D1028" s="19" t="inlineStr">
        <is>
          <t>Other Required:</t>
        </is>
      </c>
      <c r="E1028" s="35" t="inlineStr">
        <is>
          <t>Capture</t>
        </is>
      </c>
      <c r="F1028" s="35" t="n"/>
      <c r="G1028" s="35" t="n"/>
      <c r="H1028" s="35" t="n"/>
      <c r="I1028" s="35" t="n"/>
      <c r="J1028" s="16" t="n"/>
    </row>
    <row r="1029">
      <c r="A1029" s="41" t="b">
        <v>1</v>
      </c>
      <c r="B1029" s="31" t="inlineStr">
        <is>
          <t>Metro Kingdom: City Gardening: Building Planter</t>
        </is>
      </c>
      <c r="C1029" s="35" t="n"/>
      <c r="D1029" s="12" t="inlineStr">
        <is>
          <t>Minimum Jump Height:</t>
        </is>
      </c>
      <c r="E1029" s="34" t="inlineStr">
        <is>
          <t>Single Jump (258)</t>
        </is>
      </c>
      <c r="F1029" s="34" t="n"/>
      <c r="G1029" s="34" t="n"/>
      <c r="H1029" s="34" t="n"/>
      <c r="I1029" s="34" t="n"/>
      <c r="J1029" s="16" t="n"/>
    </row>
    <row r="1030">
      <c r="B1030" s="42" t="n"/>
      <c r="D1030" s="12" t="inlineStr">
        <is>
          <t>Cap Throws that work:</t>
        </is>
      </c>
      <c r="E1030" s="34" t="inlineStr">
        <is>
          <t>Neutral Throw, Up Throw, Down Throw, Spin Throw</t>
        </is>
      </c>
      <c r="F1030" s="34" t="n"/>
      <c r="G1030" s="34" t="n"/>
      <c r="H1030" s="34" t="n"/>
      <c r="I1030" s="34" t="n"/>
      <c r="J1030" s="16" t="n"/>
    </row>
    <row r="1031">
      <c r="A1031" s="43" t="n"/>
      <c r="B1031" s="44" t="n"/>
      <c r="C1031" s="43" t="n"/>
      <c r="D1031" s="19" t="inlineStr">
        <is>
          <t>Other Required:</t>
        </is>
      </c>
      <c r="E1031" s="35" t="inlineStr">
        <is>
          <t>Capture</t>
        </is>
      </c>
      <c r="F1031" s="35" t="n"/>
      <c r="G1031" s="35" t="n"/>
      <c r="H1031" s="35" t="n"/>
      <c r="I1031" s="35" t="n"/>
      <c r="J1031" s="16" t="n"/>
    </row>
    <row r="1032">
      <c r="A1032" s="41" t="b">
        <v>1</v>
      </c>
      <c r="B1032" s="31" t="inlineStr">
        <is>
          <t>Metro Kingdom: City Gardening: Plaza Planter</t>
        </is>
      </c>
      <c r="C1032" s="35" t="n"/>
      <c r="D1032" s="12" t="inlineStr">
        <is>
          <t>Minimum Jump Height:</t>
        </is>
      </c>
      <c r="E1032" s="34" t="inlineStr">
        <is>
          <t>Long Jump</t>
        </is>
      </c>
      <c r="F1032" s="34" t="n"/>
      <c r="G1032" s="34" t="n"/>
      <c r="H1032" s="34" t="n"/>
      <c r="I1032" s="34" t="n"/>
      <c r="J1032" s="16" t="n"/>
    </row>
    <row r="1033">
      <c r="B1033" s="42" t="n"/>
      <c r="D1033" s="12" t="inlineStr">
        <is>
          <t>Cap Throws that work:</t>
        </is>
      </c>
      <c r="E1033" s="34" t="inlineStr">
        <is>
          <t>Neutral Throw, Up Throw, Down Throw, Spin Throw</t>
        </is>
      </c>
      <c r="F1033" s="34" t="n"/>
      <c r="G1033" s="34" t="n"/>
      <c r="H1033" s="34" t="n"/>
      <c r="I1033" s="34" t="n"/>
      <c r="J1033" s="16" t="n"/>
    </row>
    <row r="1034">
      <c r="A1034" s="43" t="n"/>
      <c r="B1034" s="44" t="n"/>
      <c r="C1034" s="43" t="n"/>
      <c r="D1034" s="19" t="inlineStr">
        <is>
          <t>Other Required:</t>
        </is>
      </c>
      <c r="E1034" s="35" t="inlineStr">
        <is>
          <t>Capture</t>
        </is>
      </c>
      <c r="F1034" s="35" t="n"/>
      <c r="G1034" s="35" t="n"/>
      <c r="H1034" s="35" t="n"/>
      <c r="I1034" s="35" t="n"/>
      <c r="J1034" s="16" t="n"/>
    </row>
    <row r="1035">
      <c r="A1035" s="41" t="b">
        <v>1</v>
      </c>
      <c r="B1035" s="31" t="inlineStr">
        <is>
          <t>Metro Kingdom: City Gardening: Rooftop Planter</t>
        </is>
      </c>
      <c r="C1035" s="35" t="n"/>
      <c r="D1035" s="12" t="inlineStr">
        <is>
          <t>Minimum Jump Height:</t>
        </is>
      </c>
      <c r="E1035" s="34" t="inlineStr">
        <is>
          <t>Single Jump (258)</t>
        </is>
      </c>
      <c r="F1035" s="34" t="n"/>
      <c r="G1035" s="34" t="n"/>
      <c r="H1035" s="34" t="n"/>
      <c r="I1035" s="34" t="n"/>
      <c r="J1035" s="16" t="n"/>
    </row>
    <row r="1036">
      <c r="B1036" s="42" t="n"/>
      <c r="D1036" s="12" t="inlineStr">
        <is>
          <t>Cap Throws that work:</t>
        </is>
      </c>
      <c r="E1036" s="34" t="inlineStr">
        <is>
          <t>Neutral Throw, Up Throw, Down Throw, Spin Throw</t>
        </is>
      </c>
      <c r="F1036" s="34" t="n"/>
      <c r="G1036" s="34" t="n"/>
      <c r="H1036" s="34" t="n"/>
      <c r="I1036" s="34" t="n"/>
      <c r="J1036" s="16" t="n"/>
    </row>
    <row r="1037">
      <c r="A1037" s="43" t="n"/>
      <c r="B1037" s="44" t="n"/>
      <c r="C1037" s="43" t="n"/>
      <c r="D1037" s="19" t="inlineStr">
        <is>
          <t>Other Required:</t>
        </is>
      </c>
      <c r="E1037" s="35" t="inlineStr">
        <is>
          <t>Capture</t>
        </is>
      </c>
      <c r="F1037" s="35" t="n"/>
      <c r="G1037" s="35" t="n"/>
      <c r="H1037" s="35" t="n"/>
      <c r="I1037" s="35" t="n"/>
      <c r="J1037" s="16" t="n"/>
    </row>
    <row r="1038">
      <c r="A1038" s="41" t="b">
        <v>1</v>
      </c>
      <c r="B1038" s="31" t="inlineStr">
        <is>
          <t>Metro Kingdom: How You Doin', Captain Toad?</t>
        </is>
      </c>
      <c r="C1038" s="35" t="n"/>
      <c r="D1038" s="12" t="inlineStr">
        <is>
          <t>Minimum Jump Height:</t>
        </is>
      </c>
      <c r="E1038" s="34" t="inlineStr">
        <is>
          <t>No Jump Needed</t>
        </is>
      </c>
      <c r="F1038" s="34" t="n"/>
      <c r="G1038" s="34" t="n"/>
      <c r="H1038" s="34" t="n"/>
      <c r="I1038" s="34" t="n"/>
      <c r="J1038" s="16" t="n"/>
    </row>
    <row r="1039">
      <c r="B1039" s="42" t="n"/>
      <c r="D1039" s="12" t="inlineStr">
        <is>
          <t>Cap Throws that work:</t>
        </is>
      </c>
      <c r="E1039" s="34" t="inlineStr">
        <is>
          <t>Neutral Throw, Up Throw, Down Throw, Spin Throw</t>
        </is>
      </c>
      <c r="F1039" s="34" t="n"/>
      <c r="G1039" s="34" t="n"/>
      <c r="H1039" s="34" t="n"/>
      <c r="I1039" s="34" t="n"/>
      <c r="J1039" s="16" t="n"/>
    </row>
    <row r="1040">
      <c r="A1040" s="43" t="n"/>
      <c r="B1040" s="44" t="n"/>
      <c r="C1040" s="43" t="n"/>
      <c r="D1040" s="19" t="inlineStr">
        <is>
          <t>Other Required:</t>
        </is>
      </c>
      <c r="E1040" s="35" t="inlineStr">
        <is>
          <t>Capture</t>
        </is>
      </c>
      <c r="F1040" s="35" t="n"/>
      <c r="G1040" s="35" t="n"/>
      <c r="H1040" s="35" t="n"/>
      <c r="I1040" s="35" t="n"/>
      <c r="J1040" s="16" t="n"/>
    </row>
    <row r="1041">
      <c r="A1041" s="41" t="b">
        <v>1</v>
      </c>
      <c r="B1041" s="31" t="inlineStr">
        <is>
          <t>Metro Kingdom: Free Parking: Rooftop Hop</t>
        </is>
      </c>
      <c r="C1041" s="35" t="n"/>
      <c r="D1041" s="12" t="inlineStr">
        <is>
          <t>Minimum Jump Height:</t>
        </is>
      </c>
      <c r="E1041" s="34" t="inlineStr">
        <is>
          <t>No Jump Needed</t>
        </is>
      </c>
      <c r="F1041" s="34" t="n"/>
      <c r="G1041" s="34" t="n"/>
      <c r="H1041" s="34" t="n"/>
      <c r="I1041" s="34" t="n"/>
      <c r="J1041" s="16" t="n"/>
    </row>
    <row r="1042">
      <c r="B1042" s="42" t="n"/>
      <c r="D1042" s="12" t="inlineStr">
        <is>
          <t>Cap Throws that work:</t>
        </is>
      </c>
      <c r="E1042" s="34" t="inlineStr">
        <is>
          <t>Neutral Throw, Up Throw, Down Throw, Spin Throw</t>
        </is>
      </c>
      <c r="F1042" s="34" t="n"/>
      <c r="G1042" s="34" t="n"/>
      <c r="H1042" s="34" t="n"/>
      <c r="I1042" s="34" t="n"/>
      <c r="J1042" s="16" t="n"/>
    </row>
    <row r="1043">
      <c r="A1043" s="43" t="n"/>
      <c r="B1043" s="44" t="n"/>
      <c r="C1043" s="43" t="n"/>
      <c r="D1043" s="19" t="inlineStr">
        <is>
          <t>Other Required:</t>
        </is>
      </c>
      <c r="E1043" s="35" t="inlineStr">
        <is>
          <t>Capture</t>
        </is>
      </c>
      <c r="F1043" s="35" t="n"/>
      <c r="G1043" s="35" t="n"/>
      <c r="H1043" s="35" t="n"/>
      <c r="I1043" s="35" t="n"/>
      <c r="J1043" s="16" t="n"/>
    </row>
    <row r="1044">
      <c r="A1044" s="41" t="b">
        <v>1</v>
      </c>
      <c r="B1044" s="31" t="inlineStr">
        <is>
          <t>Metro Kingdom: Bench Friends</t>
        </is>
      </c>
      <c r="C1044" s="35" t="n"/>
      <c r="D1044" s="12" t="inlineStr">
        <is>
          <t>Minimum Jump Height:</t>
        </is>
      </c>
      <c r="E1044" s="34" t="inlineStr">
        <is>
          <t>Long Jump</t>
        </is>
      </c>
      <c r="F1044" s="34" t="n"/>
      <c r="G1044" s="34" t="n"/>
      <c r="H1044" s="34" t="n"/>
      <c r="I1044" s="34" t="n"/>
      <c r="J1044" s="16" t="n"/>
    </row>
    <row r="1045">
      <c r="B1045" s="42" t="n"/>
      <c r="D1045" s="12" t="inlineStr">
        <is>
          <t>Cap Throws that work:</t>
        </is>
      </c>
      <c r="E1045" s="34" t="inlineStr">
        <is>
          <t>Neutral Throw, Up Throw, Down Throw, Spin Throw</t>
        </is>
      </c>
      <c r="F1045" s="34" t="n"/>
      <c r="G1045" s="34" t="n"/>
      <c r="H1045" s="34" t="n"/>
      <c r="I1045" s="34" t="n"/>
      <c r="J1045" s="16" t="n"/>
    </row>
    <row r="1046">
      <c r="A1046" s="43" t="n"/>
      <c r="B1046" s="44" t="n"/>
      <c r="C1046" s="43" t="n"/>
      <c r="D1046" s="19" t="inlineStr">
        <is>
          <t>Other Required:</t>
        </is>
      </c>
      <c r="E1046" s="35" t="inlineStr">
        <is>
          <t>Capture</t>
        </is>
      </c>
      <c r="F1046" s="35" t="n"/>
      <c r="G1046" s="35" t="n"/>
      <c r="H1046" s="35" t="n"/>
      <c r="I1046" s="35" t="n"/>
      <c r="J1046" s="16" t="n"/>
    </row>
    <row r="1047">
      <c r="A1047" s="41" t="b">
        <v>1</v>
      </c>
      <c r="B1047" s="31" t="inlineStr">
        <is>
          <t>Crazy Cap Store (Metro): Shopping in New Donk City</t>
        </is>
      </c>
      <c r="C1047" s="35" t="n"/>
      <c r="D1047" s="12" t="inlineStr">
        <is>
          <t>Minimum Jump Height:</t>
        </is>
      </c>
      <c r="E1047" s="34" t="inlineStr">
        <is>
          <t>No Jump Needed</t>
        </is>
      </c>
      <c r="F1047" s="34" t="n"/>
      <c r="G1047" s="34" t="n"/>
      <c r="H1047" s="34" t="n"/>
      <c r="I1047" s="34" t="n"/>
      <c r="J1047" s="16" t="n"/>
    </row>
    <row r="1048">
      <c r="B1048" s="42" t="n"/>
      <c r="D1048" s="12" t="inlineStr">
        <is>
          <t>Cap Throws that work:</t>
        </is>
      </c>
      <c r="E1048" s="34" t="inlineStr">
        <is>
          <t>No Cap Throw Needed</t>
        </is>
      </c>
      <c r="F1048" s="34" t="n"/>
      <c r="G1048" s="34" t="n"/>
      <c r="H1048" s="34" t="n"/>
      <c r="I1048" s="34" t="n"/>
      <c r="J1048" s="16" t="n"/>
    </row>
    <row r="1049">
      <c r="A1049" s="43" t="n"/>
      <c r="B1049" s="44" t="n"/>
      <c r="C1049" s="43" t="n"/>
      <c r="D1049" s="19" t="inlineStr">
        <is>
          <t>Other Required:</t>
        </is>
      </c>
      <c r="E1049" s="35" t="inlineStr">
        <is>
          <t>None</t>
        </is>
      </c>
      <c r="F1049" s="35" t="n"/>
      <c r="G1049" s="35" t="n"/>
      <c r="H1049" s="35" t="n"/>
      <c r="I1049" s="35" t="n"/>
      <c r="J1049" s="16" t="n"/>
    </row>
    <row r="1050">
      <c r="A1050" s="41" t="b">
        <v>1</v>
      </c>
      <c r="B1050" s="31" t="inlineStr">
        <is>
          <t>Metro Kingdom Slots: Metro Kingdom Slots</t>
        </is>
      </c>
      <c r="C1050" s="35" t="n"/>
      <c r="D1050" s="12" t="inlineStr">
        <is>
          <t>Minimum Jump Height:</t>
        </is>
      </c>
      <c r="E1050" s="34" t="inlineStr">
        <is>
          <t>No Jump Needed</t>
        </is>
      </c>
      <c r="F1050" s="34" t="n"/>
      <c r="G1050" s="34" t="n"/>
      <c r="H1050" s="34" t="n"/>
      <c r="I1050" s="34" t="n"/>
      <c r="J1050" s="16" t="n"/>
    </row>
    <row r="1051">
      <c r="B1051" s="42" t="n"/>
      <c r="D1051" s="12" t="inlineStr">
        <is>
          <t>Cap Throws that work:</t>
        </is>
      </c>
      <c r="E1051" s="34" t="inlineStr">
        <is>
          <t>Neutral Throw, Up Throw, Down Throw, Spin Throw</t>
        </is>
      </c>
      <c r="F1051" s="34" t="n"/>
      <c r="G1051" s="34" t="n"/>
      <c r="H1051" s="34" t="n"/>
      <c r="I1051" s="34" t="n"/>
      <c r="J1051" s="16" t="n"/>
    </row>
    <row r="1052">
      <c r="A1052" s="43" t="n"/>
      <c r="B1052" s="44" t="n"/>
      <c r="C1052" s="43" t="n"/>
      <c r="D1052" s="19" t="inlineStr">
        <is>
          <t>Other Required:</t>
        </is>
      </c>
      <c r="E1052" s="35" t="inlineStr">
        <is>
          <t>None</t>
        </is>
      </c>
      <c r="F1052" s="35" t="n"/>
      <c r="G1052" s="35" t="n"/>
      <c r="H1052" s="35" t="n"/>
      <c r="I1052" s="35" t="n"/>
      <c r="J1052" s="16" t="n"/>
    </row>
    <row r="1053">
      <c r="A1053" s="41" t="b">
        <v>1</v>
      </c>
      <c r="B1053" s="31" t="inlineStr">
        <is>
          <t>Metro Kingdom: Jump-Rope Hero</t>
        </is>
      </c>
      <c r="C1053" s="35" t="n"/>
      <c r="D1053" s="12" t="inlineStr">
        <is>
          <t>Minimum Jump Height:</t>
        </is>
      </c>
      <c r="E1053" s="34" t="inlineStr">
        <is>
          <t>Single Jump (258)</t>
        </is>
      </c>
      <c r="F1053" s="34" t="n"/>
      <c r="G1053" s="34" t="n"/>
      <c r="H1053" s="34" t="n"/>
      <c r="I1053" s="34" t="n"/>
      <c r="J1053" s="16" t="n"/>
    </row>
    <row r="1054">
      <c r="B1054" s="42" t="n"/>
      <c r="D1054" s="12" t="inlineStr">
        <is>
          <t>Cap Throws that work:</t>
        </is>
      </c>
      <c r="E1054" s="34" t="inlineStr">
        <is>
          <t>Neutral Throw, Up Throw, Down Throw, Spin Throw</t>
        </is>
      </c>
      <c r="F1054" s="34" t="n"/>
      <c r="G1054" s="34" t="n"/>
      <c r="H1054" s="34" t="n"/>
      <c r="I1054" s="34" t="n"/>
      <c r="J1054" s="16" t="n"/>
    </row>
    <row r="1055">
      <c r="A1055" s="43" t="n"/>
      <c r="B1055" s="44" t="n"/>
      <c r="C1055" s="43" t="n"/>
      <c r="D1055" s="19" t="inlineStr">
        <is>
          <t>Other Required:</t>
        </is>
      </c>
      <c r="E1055" s="35" t="inlineStr">
        <is>
          <t>Capture</t>
        </is>
      </c>
      <c r="F1055" s="35" t="n"/>
      <c r="G1055" s="35" t="n"/>
      <c r="H1055" s="35" t="n"/>
      <c r="I1055" s="35" t="n"/>
      <c r="J1055" s="16" t="n"/>
    </row>
    <row r="1056">
      <c r="A1056" s="41" t="b">
        <v>1</v>
      </c>
      <c r="B1056" s="31" t="inlineStr">
        <is>
          <t>Metro Kingdom: Jump-Rope Genius</t>
        </is>
      </c>
      <c r="C1056" s="35" t="n"/>
      <c r="D1056" s="12" t="inlineStr">
        <is>
          <t>Minimum Jump Height:</t>
        </is>
      </c>
      <c r="E1056" s="34" t="inlineStr">
        <is>
          <t>Single Jump (258)</t>
        </is>
      </c>
      <c r="F1056" s="34" t="n"/>
      <c r="G1056" s="34" t="n"/>
      <c r="H1056" s="34" t="n"/>
      <c r="I1056" s="34" t="n"/>
      <c r="J1056" s="16" t="n"/>
    </row>
    <row r="1057">
      <c r="B1057" s="42" t="n"/>
      <c r="D1057" s="12" t="inlineStr">
        <is>
          <t>Cap Throws that work:</t>
        </is>
      </c>
      <c r="E1057" s="34" t="inlineStr">
        <is>
          <t>Neutral Throw, Up Throw, Down Throw, Spin Throw</t>
        </is>
      </c>
      <c r="F1057" s="34" t="n"/>
      <c r="G1057" s="34" t="n"/>
      <c r="H1057" s="34" t="n"/>
      <c r="I1057" s="34" t="n"/>
      <c r="J1057" s="16" t="n"/>
    </row>
    <row r="1058">
      <c r="A1058" s="43" t="n"/>
      <c r="B1058" s="44" t="n"/>
      <c r="C1058" s="43" t="n"/>
      <c r="D1058" s="19" t="inlineStr">
        <is>
          <t>Other Required:</t>
        </is>
      </c>
      <c r="E1058" s="35" t="inlineStr">
        <is>
          <t>Capture</t>
        </is>
      </c>
      <c r="F1058" s="35" t="n"/>
      <c r="G1058" s="35" t="n"/>
      <c r="H1058" s="35" t="n"/>
      <c r="I1058" s="35" t="n"/>
      <c r="J1058" s="16" t="n"/>
    </row>
    <row r="1059">
      <c r="A1059" s="41" t="b">
        <v>1</v>
      </c>
      <c r="B1059" s="31" t="inlineStr">
        <is>
          <t>Metro Kingdom: Remotely Captured Car</t>
        </is>
      </c>
      <c r="C1059" s="35" t="inlineStr">
        <is>
          <t>RC Car</t>
        </is>
      </c>
      <c r="D1059" s="12" t="inlineStr">
        <is>
          <t>Minimum Jump Height:</t>
        </is>
      </c>
      <c r="E1059" s="34" t="inlineStr">
        <is>
          <t>No Jump Needed</t>
        </is>
      </c>
      <c r="F1059" s="34" t="inlineStr">
        <is>
          <t>No Jump Needed</t>
        </is>
      </c>
      <c r="G1059" s="34" t="n"/>
      <c r="H1059" s="34" t="n"/>
      <c r="I1059" s="34" t="n"/>
      <c r="J1059" s="16" t="n"/>
    </row>
    <row r="1060">
      <c r="B1060" s="42" t="n"/>
      <c r="D1060" s="12" t="inlineStr">
        <is>
          <t>Cap Throws that work:</t>
        </is>
      </c>
      <c r="E1060" s="34" t="inlineStr">
        <is>
          <t>Neutral Throw, Down Throw, Up Throw, Spin Throw</t>
        </is>
      </c>
      <c r="F1060" s="34" t="inlineStr">
        <is>
          <t>No Cap Throw Needed</t>
        </is>
      </c>
      <c r="G1060" s="34" t="n"/>
      <c r="H1060" s="34" t="n"/>
      <c r="I1060" s="34" t="n"/>
      <c r="J1060" s="16" t="n"/>
    </row>
    <row r="1061">
      <c r="A1061" s="43" t="n"/>
      <c r="B1061" s="44" t="n"/>
      <c r="C1061" s="43" t="n"/>
      <c r="D1061" s="19" t="inlineStr">
        <is>
          <t>Other Required:</t>
        </is>
      </c>
      <c r="E1061" s="35" t="inlineStr">
        <is>
          <t>Capture</t>
        </is>
      </c>
      <c r="F1061" s="35" t="n"/>
      <c r="G1061" s="35" t="n"/>
      <c r="H1061" s="35" t="n"/>
      <c r="I1061" s="35" t="n"/>
      <c r="J1061" s="16" t="n"/>
    </row>
    <row r="1062">
      <c r="A1062" s="41" t="b">
        <v>1</v>
      </c>
      <c r="B1062" s="31" t="inlineStr">
        <is>
          <t>RC Race: RC Car Pro!</t>
        </is>
      </c>
      <c r="C1062" s="35" t="inlineStr">
        <is>
          <t>RC Car</t>
        </is>
      </c>
      <c r="D1062" s="12" t="inlineStr">
        <is>
          <t>Minimum Jump Height:</t>
        </is>
      </c>
      <c r="E1062" s="34" t="inlineStr">
        <is>
          <t>Long Jump</t>
        </is>
      </c>
      <c r="F1062" s="34" t="n"/>
      <c r="G1062" s="34" t="n"/>
      <c r="H1062" s="34" t="n"/>
      <c r="I1062" s="34" t="n"/>
      <c r="J1062" s="16" t="n"/>
    </row>
    <row r="1063">
      <c r="B1063" s="42" t="n"/>
      <c r="D1063" s="12" t="inlineStr">
        <is>
          <t>Cap Throws that work:</t>
        </is>
      </c>
      <c r="E1063" s="34" t="inlineStr">
        <is>
          <t>Neutral Throw, Up Throw, Down Throw, Spin Throw</t>
        </is>
      </c>
      <c r="F1063" s="34" t="n"/>
      <c r="G1063" s="34" t="n"/>
      <c r="H1063" s="34" t="n"/>
      <c r="I1063" s="34" t="n"/>
      <c r="J1063" s="16" t="n"/>
    </row>
    <row r="1064">
      <c r="A1064" s="43" t="n"/>
      <c r="B1064" s="44" t="n"/>
      <c r="C1064" s="43" t="n"/>
      <c r="D1064" s="19" t="inlineStr">
        <is>
          <t>Other Required:</t>
        </is>
      </c>
      <c r="E1064" s="35" t="inlineStr">
        <is>
          <t>Capture</t>
        </is>
      </c>
      <c r="F1064" s="35" t="n"/>
      <c r="G1064" s="35" t="n"/>
      <c r="H1064" s="35" t="n"/>
      <c r="I1064" s="35" t="n"/>
      <c r="J1064" s="16" t="n"/>
    </row>
    <row r="1065">
      <c r="A1065" s="41" t="b">
        <v>1</v>
      </c>
      <c r="B1065" s="31" t="inlineStr">
        <is>
          <t>Rainbow Notes: Taking Notes: In the Private Room</t>
        </is>
      </c>
      <c r="C1065" s="35" t="n"/>
      <c r="D1065" s="12" t="inlineStr">
        <is>
          <t>Minimum Jump Height:</t>
        </is>
      </c>
      <c r="E1065" s="34" t="inlineStr">
        <is>
          <t>Single Jump (258)</t>
        </is>
      </c>
      <c r="F1065" s="34" t="n"/>
      <c r="G1065" s="34" t="n"/>
      <c r="H1065" s="34" t="n"/>
      <c r="I1065" s="34" t="n"/>
      <c r="J1065" s="16" t="n"/>
    </row>
    <row r="1066">
      <c r="B1066" s="42" t="n"/>
      <c r="D1066" s="12" t="inlineStr">
        <is>
          <t>Cap Throws that work:</t>
        </is>
      </c>
      <c r="E1066" s="34" t="inlineStr">
        <is>
          <t>No Cap Throw Needed</t>
        </is>
      </c>
      <c r="F1066" s="34" t="n"/>
      <c r="G1066" s="34" t="n"/>
      <c r="H1066" s="34" t="n"/>
      <c r="I1066" s="34" t="n"/>
      <c r="J1066" s="16" t="n"/>
    </row>
    <row r="1067">
      <c r="A1067" s="43" t="n"/>
      <c r="B1067" s="44" t="n"/>
      <c r="C1067" s="43" t="n"/>
      <c r="D1067" s="19" t="inlineStr">
        <is>
          <t>Other Required:</t>
        </is>
      </c>
      <c r="E1067" s="35" t="n"/>
      <c r="F1067" s="35" t="n"/>
      <c r="G1067" s="35" t="n"/>
      <c r="H1067" s="35" t="n"/>
      <c r="I1067" s="35" t="n"/>
      <c r="J1067" s="16" t="n"/>
    </row>
    <row r="1068">
      <c r="A1068" s="41" t="b">
        <v>1</v>
      </c>
      <c r="B1068" s="31" t="inlineStr">
        <is>
          <t>Inside New Donk City Tower: City Hall Lost &amp; Found</t>
        </is>
      </c>
      <c r="C1068" s="35" t="n"/>
      <c r="D1068" s="12" t="inlineStr">
        <is>
          <t>Minimum Jump Height:</t>
        </is>
      </c>
      <c r="E1068" s="34" t="inlineStr">
        <is>
          <t>Single Jump (258)</t>
        </is>
      </c>
      <c r="F1068" s="34" t="n"/>
      <c r="G1068" s="34" t="n"/>
      <c r="H1068" s="34" t="n"/>
      <c r="I1068" s="34" t="n"/>
      <c r="J1068" s="16" t="n"/>
    </row>
    <row r="1069">
      <c r="B1069" s="42" t="n"/>
      <c r="D1069" s="12" t="inlineStr">
        <is>
          <t>Cap Throws that work:</t>
        </is>
      </c>
      <c r="E1069" s="34" t="inlineStr">
        <is>
          <t>Neutral Throw, Up Throw, Down Throw, Spin Throw</t>
        </is>
      </c>
      <c r="F1069" s="34" t="n"/>
      <c r="G1069" s="34" t="n"/>
      <c r="H1069" s="34" t="n"/>
      <c r="I1069" s="34" t="n"/>
      <c r="J1069" s="16" t="n"/>
    </row>
    <row r="1070">
      <c r="A1070" s="43" t="n"/>
      <c r="B1070" s="44" t="n"/>
      <c r="C1070" s="43" t="n"/>
      <c r="D1070" s="19" t="inlineStr">
        <is>
          <t>Other Required:</t>
        </is>
      </c>
      <c r="E1070" s="35" t="inlineStr">
        <is>
          <t>Climb, Capture</t>
        </is>
      </c>
      <c r="F1070" s="35" t="n"/>
      <c r="G1070" s="35" t="n"/>
      <c r="H1070" s="35" t="n"/>
      <c r="I1070" s="35" t="n"/>
      <c r="J1070" s="16" t="n"/>
    </row>
    <row r="1071">
      <c r="A1071" s="41" t="b">
        <v>1</v>
      </c>
      <c r="B1071" s="31" t="inlineStr">
        <is>
          <t>Sewers: Sewer Treasure</t>
        </is>
      </c>
      <c r="C1071" s="35" t="n"/>
      <c r="D1071" s="12" t="inlineStr">
        <is>
          <t>Minimum Jump Height:</t>
        </is>
      </c>
      <c r="E1071" s="34" t="inlineStr">
        <is>
          <t>Single Jump (258)</t>
        </is>
      </c>
      <c r="F1071" s="34" t="n"/>
      <c r="G1071" s="34" t="n"/>
      <c r="H1071" s="34" t="n"/>
      <c r="I1071" s="34" t="n"/>
      <c r="J1071" s="16" t="n"/>
    </row>
    <row r="1072">
      <c r="B1072" s="42" t="n"/>
      <c r="D1072" s="12" t="inlineStr">
        <is>
          <t>Cap Throws that work:</t>
        </is>
      </c>
      <c r="E1072" s="34" t="inlineStr">
        <is>
          <t>Neutral Throw, Spin Throw</t>
        </is>
      </c>
      <c r="F1072" s="34" t="n"/>
      <c r="G1072" s="34" t="n"/>
      <c r="H1072" s="34" t="n"/>
      <c r="I1072" s="34" t="n"/>
      <c r="J1072" s="16" t="n"/>
    </row>
    <row r="1073">
      <c r="A1073" s="43" t="n"/>
      <c r="B1073" s="44" t="n"/>
      <c r="C1073" s="43" t="n"/>
      <c r="D1073" s="19" t="inlineStr">
        <is>
          <t>Other Required:</t>
        </is>
      </c>
      <c r="E1073" s="35" t="inlineStr">
        <is>
          <t>None</t>
        </is>
      </c>
      <c r="F1073" s="35" t="n"/>
      <c r="G1073" s="35" t="n"/>
      <c r="H1073" s="35" t="n"/>
      <c r="I1073" s="35" t="n"/>
      <c r="J1073" s="16" t="n"/>
    </row>
    <row r="1074">
      <c r="A1074" s="41" t="b">
        <v>1</v>
      </c>
      <c r="B1074" s="31" t="inlineStr">
        <is>
          <t>Metro Kingdom: Celebrating in the Streets!</t>
        </is>
      </c>
      <c r="C1074" s="35" t="n"/>
      <c r="D1074" s="12" t="inlineStr">
        <is>
          <t>Minimum Jump Height:</t>
        </is>
      </c>
      <c r="E1074" s="34" t="inlineStr">
        <is>
          <t>Single Jump (258)</t>
        </is>
      </c>
      <c r="F1074" s="34" t="n"/>
      <c r="G1074" s="34" t="n"/>
      <c r="H1074" s="34" t="n"/>
      <c r="I1074" s="34" t="n"/>
      <c r="J1074" s="16" t="n"/>
    </row>
    <row r="1075">
      <c r="B1075" s="42" t="n"/>
      <c r="D1075" s="12" t="inlineStr">
        <is>
          <t>Cap Throws that work:</t>
        </is>
      </c>
      <c r="E1075" s="34" t="inlineStr">
        <is>
          <t>No Cap Throw Needed</t>
        </is>
      </c>
      <c r="F1075" s="34" t="n"/>
      <c r="G1075" s="34" t="n"/>
      <c r="H1075" s="34" t="n"/>
      <c r="I1075" s="34" t="n"/>
      <c r="J1075" s="16" t="n"/>
    </row>
    <row r="1076">
      <c r="A1076" s="43" t="n"/>
      <c r="B1076" s="44" t="n"/>
      <c r="C1076" s="43" t="n"/>
      <c r="D1076" s="19" t="inlineStr">
        <is>
          <t>Other Required:</t>
        </is>
      </c>
      <c r="E1076" s="35" t="n"/>
      <c r="F1076" s="35" t="n"/>
      <c r="G1076" s="35" t="n"/>
      <c r="H1076" s="35" t="n"/>
      <c r="I1076" s="35" t="n"/>
      <c r="J1076" s="16" t="n"/>
    </row>
    <row r="1077">
      <c r="A1077" s="41" t="b">
        <v>1</v>
      </c>
      <c r="B1077" s="31" t="inlineStr">
        <is>
          <t>Crowded Alleyway: Pushing Through the Crowd</t>
        </is>
      </c>
      <c r="C1077" s="35" t="n"/>
      <c r="D1077" s="12" t="inlineStr">
        <is>
          <t>Minimum Jump Height:</t>
        </is>
      </c>
      <c r="E1077" s="34" t="inlineStr">
        <is>
          <t>Long Jump</t>
        </is>
      </c>
      <c r="F1077" s="34" t="n"/>
      <c r="G1077" s="34" t="n"/>
      <c r="H1077" s="34" t="n"/>
      <c r="I1077" s="34" t="n"/>
      <c r="J1077" s="16" t="n"/>
    </row>
    <row r="1078">
      <c r="B1078" s="42" t="n"/>
      <c r="D1078" s="12" t="inlineStr">
        <is>
          <t>Cap Throws that work:</t>
        </is>
      </c>
      <c r="E1078" s="34" t="inlineStr">
        <is>
          <t>Neutral Throw, Up Throw, Down Throw, Spin Throw</t>
        </is>
      </c>
      <c r="F1078" s="34" t="n"/>
      <c r="G1078" s="34" t="n"/>
      <c r="H1078" s="34" t="n"/>
      <c r="I1078" s="34" t="n"/>
      <c r="J1078" s="16" t="n"/>
    </row>
    <row r="1079">
      <c r="A1079" s="43" t="n"/>
      <c r="B1079" s="44" t="n"/>
      <c r="C1079" s="43" t="n"/>
      <c r="D1079" s="19" t="inlineStr">
        <is>
          <t>Other Required:</t>
        </is>
      </c>
      <c r="E1079" s="35" t="inlineStr">
        <is>
          <t>None</t>
        </is>
      </c>
      <c r="F1079" s="35" t="n"/>
      <c r="G1079" s="35" t="n"/>
      <c r="H1079" s="35" t="n"/>
      <c r="I1079" s="35" t="n"/>
      <c r="J1079" s="16" t="n"/>
    </row>
    <row r="1080">
      <c r="A1080" s="41" t="b">
        <v>1</v>
      </c>
      <c r="B1080" s="31" t="inlineStr">
        <is>
          <t>Crowded Alleyway: High Over the Crowd</t>
        </is>
      </c>
      <c r="C1080" s="35" t="n"/>
      <c r="D1080" s="12" t="inlineStr">
        <is>
          <t>Minimum Jump Height:</t>
        </is>
      </c>
      <c r="E1080" s="34" t="inlineStr">
        <is>
          <t>Long Jump</t>
        </is>
      </c>
      <c r="F1080" s="34" t="n"/>
      <c r="G1080" s="34" t="n"/>
      <c r="H1080" s="34" t="n"/>
      <c r="I1080" s="34" t="n"/>
      <c r="J1080" s="16" t="n"/>
    </row>
    <row r="1081">
      <c r="B1081" s="42" t="n"/>
      <c r="D1081" s="12" t="inlineStr">
        <is>
          <t>Cap Throws that work:</t>
        </is>
      </c>
      <c r="E1081" s="34" t="inlineStr">
        <is>
          <t>No Cap Throw Needed</t>
        </is>
      </c>
      <c r="F1081" s="34" t="n"/>
      <c r="G1081" s="34" t="n"/>
      <c r="H1081" s="34" t="n"/>
      <c r="I1081" s="34" t="n"/>
      <c r="J1081" s="16" t="n"/>
    </row>
    <row r="1082">
      <c r="A1082" s="43" t="n"/>
      <c r="B1082" s="44" t="n"/>
      <c r="C1082" s="43" t="n"/>
      <c r="D1082" s="19" t="inlineStr">
        <is>
          <t>Other Required:</t>
        </is>
      </c>
      <c r="E1082" s="35" t="inlineStr">
        <is>
          <t>None</t>
        </is>
      </c>
      <c r="F1082" s="35" t="n"/>
      <c r="G1082" s="35" t="n"/>
      <c r="H1082" s="35" t="n"/>
      <c r="I1082" s="35" t="n"/>
      <c r="J1082" s="16" t="n"/>
    </row>
    <row r="1083">
      <c r="A1083" s="41" t="b">
        <v>1</v>
      </c>
      <c r="B1083" s="31" t="inlineStr">
        <is>
          <t>Rewiring the Neighborhood: Rewiring the Neighborhood</t>
        </is>
      </c>
      <c r="C1083" s="35" t="inlineStr">
        <is>
          <t>Spark pylon</t>
        </is>
      </c>
      <c r="D1083" s="12" t="inlineStr">
        <is>
          <t>Minimum Jump Height:</t>
        </is>
      </c>
      <c r="E1083" s="34" t="inlineStr">
        <is>
          <t>Long Jump</t>
        </is>
      </c>
      <c r="F1083" s="34" t="n"/>
      <c r="G1083" s="34" t="n"/>
      <c r="H1083" s="34" t="n"/>
      <c r="I1083" s="34" t="n"/>
      <c r="J1083" s="16" t="n"/>
    </row>
    <row r="1084">
      <c r="B1084" s="42" t="n"/>
      <c r="D1084" s="12" t="inlineStr">
        <is>
          <t>Cap Throws that work:</t>
        </is>
      </c>
      <c r="E1084" s="34" t="inlineStr">
        <is>
          <t>Neutral Throw, Up Throw, Down Throw, Spin Throw</t>
        </is>
      </c>
      <c r="F1084" s="34" t="n"/>
      <c r="G1084" s="34" t="n"/>
      <c r="H1084" s="34" t="n"/>
      <c r="I1084" s="34" t="n"/>
      <c r="J1084" s="16" t="n"/>
    </row>
    <row r="1085">
      <c r="A1085" s="43" t="n"/>
      <c r="B1085" s="44" t="n"/>
      <c r="C1085" s="43" t="n"/>
      <c r="D1085" s="19" t="inlineStr">
        <is>
          <t>Other Required:</t>
        </is>
      </c>
      <c r="E1085" s="35" t="inlineStr">
        <is>
          <t>Capture</t>
        </is>
      </c>
      <c r="F1085" s="35" t="n"/>
      <c r="G1085" s="35" t="n"/>
      <c r="H1085" s="35" t="n"/>
      <c r="I1085" s="35" t="n"/>
      <c r="J1085" s="16" t="n"/>
    </row>
    <row r="1086">
      <c r="A1086" s="41" t="b">
        <v>1</v>
      </c>
      <c r="B1086" s="31" t="inlineStr">
        <is>
          <t>Rewiring the Neighborhood: Off the Beaten Wire</t>
        </is>
      </c>
      <c r="C1086" s="35" t="inlineStr">
        <is>
          <t>Spark pylon</t>
        </is>
      </c>
      <c r="D1086" s="12" t="inlineStr">
        <is>
          <t>Minimum Jump Height:</t>
        </is>
      </c>
      <c r="E1086" s="34" t="inlineStr">
        <is>
          <t>Long Jump</t>
        </is>
      </c>
      <c r="F1086" s="34" t="n"/>
      <c r="G1086" s="34" t="n"/>
      <c r="H1086" s="34" t="n"/>
      <c r="I1086" s="34" t="n"/>
      <c r="J1086" s="16" t="n"/>
    </row>
    <row r="1087">
      <c r="B1087" s="42" t="n"/>
      <c r="D1087" s="12" t="inlineStr">
        <is>
          <t>Cap Throws that work:</t>
        </is>
      </c>
      <c r="E1087" s="34" t="inlineStr">
        <is>
          <t>Neutral Throw, Up Throw, Down Throw, Spin Throw</t>
        </is>
      </c>
      <c r="F1087" s="34" t="n"/>
      <c r="G1087" s="34" t="n"/>
      <c r="H1087" s="34" t="n"/>
      <c r="I1087" s="34" t="n"/>
      <c r="J1087" s="16" t="n"/>
    </row>
    <row r="1088">
      <c r="A1088" s="43" t="n"/>
      <c r="B1088" s="44" t="n"/>
      <c r="C1088" s="43" t="n"/>
      <c r="D1088" s="19" t="inlineStr">
        <is>
          <t>Other Required:</t>
        </is>
      </c>
      <c r="E1088" s="35" t="inlineStr">
        <is>
          <t>Capture</t>
        </is>
      </c>
      <c r="F1088" s="35" t="n"/>
      <c r="G1088" s="35" t="n"/>
      <c r="H1088" s="35" t="n"/>
      <c r="I1088" s="35" t="n"/>
      <c r="J1088" s="16" t="n"/>
    </row>
    <row r="1089">
      <c r="A1089" s="41" t="b">
        <v>1</v>
      </c>
      <c r="B1089" s="31" t="inlineStr">
        <is>
          <t>Shards Under Siege: Moon Shards Under Siege</t>
        </is>
      </c>
      <c r="C1089" s="35" t="inlineStr">
        <is>
          <t>Sherm</t>
        </is>
      </c>
      <c r="D1089" s="12" t="inlineStr">
        <is>
          <t>Minimum Jump Height:</t>
        </is>
      </c>
      <c r="E1089" s="34" t="inlineStr">
        <is>
          <t>Ground Pound Jump (514)</t>
        </is>
      </c>
      <c r="F1089" s="34" t="n"/>
      <c r="G1089" s="34" t="n"/>
      <c r="H1089" s="34" t="n"/>
      <c r="I1089" s="34" t="n"/>
      <c r="J1089" s="16" t="n"/>
    </row>
    <row r="1090">
      <c r="B1090" s="42" t="n"/>
      <c r="D1090" s="12" t="inlineStr">
        <is>
          <t>Cap Throws that work:</t>
        </is>
      </c>
      <c r="E1090" s="34" t="n"/>
      <c r="F1090" s="34" t="n"/>
      <c r="G1090" s="34" t="n"/>
      <c r="H1090" s="34" t="n"/>
      <c r="I1090" s="34" t="n"/>
      <c r="J1090" s="16" t="n"/>
    </row>
    <row r="1091">
      <c r="A1091" s="43" t="n"/>
      <c r="B1091" s="44" t="n"/>
      <c r="C1091" s="43" t="n"/>
      <c r="D1091" s="19" t="inlineStr">
        <is>
          <t>Other Required:</t>
        </is>
      </c>
      <c r="E1091" s="35" t="inlineStr">
        <is>
          <t>Wall Slide, Capture</t>
        </is>
      </c>
      <c r="F1091" s="35" t="n"/>
      <c r="G1091" s="35" t="n"/>
      <c r="H1091" s="35" t="n"/>
      <c r="I1091" s="35" t="n"/>
      <c r="J1091" s="16" t="n"/>
    </row>
    <row r="1092">
      <c r="A1092" s="41" t="b">
        <v>1</v>
      </c>
      <c r="B1092" s="31" t="inlineStr">
        <is>
          <t>Shards Under Siege: Sharpshooting Under Siege</t>
        </is>
      </c>
      <c r="C1092" s="35" t="inlineStr">
        <is>
          <t>Sherm</t>
        </is>
      </c>
      <c r="D1092" s="12" t="inlineStr">
        <is>
          <t>Minimum Jump Height:</t>
        </is>
      </c>
      <c r="E1092" s="34" t="inlineStr">
        <is>
          <t>Ground Pound Jump (514)</t>
        </is>
      </c>
      <c r="F1092" s="34" t="n"/>
      <c r="G1092" s="34" t="n"/>
      <c r="H1092" s="34" t="n"/>
      <c r="I1092" s="34" t="n"/>
      <c r="J1092" s="16" t="n"/>
    </row>
    <row r="1093">
      <c r="B1093" s="42" t="n"/>
      <c r="D1093" s="12" t="inlineStr">
        <is>
          <t>Cap Throws that work:</t>
        </is>
      </c>
      <c r="E1093" s="34" t="n"/>
      <c r="F1093" s="34" t="n"/>
      <c r="G1093" s="34" t="n"/>
      <c r="H1093" s="34" t="n"/>
      <c r="I1093" s="34" t="n"/>
      <c r="J1093" s="16" t="n"/>
    </row>
    <row r="1094">
      <c r="A1094" s="43" t="n"/>
      <c r="B1094" s="44" t="n"/>
      <c r="C1094" s="43" t="n"/>
      <c r="D1094" s="19" t="inlineStr">
        <is>
          <t>Other Required:</t>
        </is>
      </c>
      <c r="E1094" s="35" t="inlineStr">
        <is>
          <t>Wall Slide, Capture</t>
        </is>
      </c>
      <c r="F1094" s="35" t="n"/>
      <c r="G1094" s="35" t="n"/>
      <c r="H1094" s="35" t="n"/>
      <c r="I1094" s="35" t="n"/>
      <c r="J1094" s="16" t="n"/>
    </row>
    <row r="1095">
      <c r="A1095" s="41" t="b">
        <v>1</v>
      </c>
      <c r="B1095" s="31" t="inlineStr">
        <is>
          <t>Rotating Maze Shards: Inside the Rotating Maze</t>
        </is>
      </c>
      <c r="C1095" s="35" t="n"/>
      <c r="D1095" s="12" t="inlineStr">
        <is>
          <t>Minimum Jump Height:</t>
        </is>
      </c>
      <c r="E1095" s="34" t="inlineStr">
        <is>
          <t>Long Jump</t>
        </is>
      </c>
      <c r="F1095" s="34" t="n"/>
      <c r="G1095" s="34" t="n"/>
      <c r="H1095" s="34" t="n"/>
      <c r="I1095" s="34" t="n"/>
      <c r="J1095" s="16" t="n"/>
    </row>
    <row r="1096">
      <c r="B1096" s="42" t="n"/>
      <c r="D1096" s="12" t="inlineStr">
        <is>
          <t>Cap Throws that work:</t>
        </is>
      </c>
      <c r="E1096" s="34" t="inlineStr">
        <is>
          <t>Neutral Throw, Up Throw, Down Throw, Spin Throw</t>
        </is>
      </c>
      <c r="F1096" s="34" t="n"/>
      <c r="G1096" s="34" t="n"/>
      <c r="H1096" s="34" t="n"/>
      <c r="I1096" s="34" t="n"/>
      <c r="J1096" s="16" t="n"/>
    </row>
    <row r="1097">
      <c r="A1097" s="43" t="n"/>
      <c r="B1097" s="44" t="n"/>
      <c r="C1097" s="43" t="n"/>
      <c r="D1097" s="19" t="inlineStr">
        <is>
          <t>Other Required:</t>
        </is>
      </c>
      <c r="E1097" s="35" t="inlineStr">
        <is>
          <t>None</t>
        </is>
      </c>
      <c r="F1097" s="35" t="n"/>
      <c r="G1097" s="35" t="n"/>
      <c r="H1097" s="35" t="n"/>
      <c r="I1097" s="35" t="n"/>
      <c r="J1097" s="16" t="n"/>
    </row>
    <row r="1098">
      <c r="A1098" s="41" t="b">
        <v>1</v>
      </c>
      <c r="B1098" s="31" t="inlineStr">
        <is>
          <t>Rotating Maze Shards: Outside the Rotating Maze</t>
        </is>
      </c>
      <c r="C1098" s="35" t="n"/>
      <c r="D1098" s="12" t="inlineStr">
        <is>
          <t>Minimum Jump Height:</t>
        </is>
      </c>
      <c r="E1098" s="34" t="inlineStr">
        <is>
          <t>Cap Return Jump (400)</t>
        </is>
      </c>
      <c r="F1098" s="34" t="n"/>
      <c r="G1098" s="34" t="n"/>
      <c r="H1098" s="34" t="n"/>
      <c r="I1098" s="34" t="n"/>
      <c r="J1098" s="16" t="n"/>
    </row>
    <row r="1099">
      <c r="B1099" s="42" t="n"/>
      <c r="D1099" s="12" t="inlineStr">
        <is>
          <t>Cap Throws that work:</t>
        </is>
      </c>
      <c r="E1099" s="34" t="inlineStr">
        <is>
          <t>No Cap Throw Needed</t>
        </is>
      </c>
      <c r="F1099" s="34" t="n"/>
      <c r="G1099" s="34" t="n"/>
      <c r="H1099" s="34" t="n"/>
      <c r="I1099" s="34" t="n"/>
      <c r="J1099" s="16" t="n"/>
    </row>
    <row r="1100">
      <c r="A1100" s="43" t="n"/>
      <c r="B1100" s="44" t="n"/>
      <c r="C1100" s="43" t="n"/>
      <c r="D1100" s="19" t="inlineStr">
        <is>
          <t>Other Required:</t>
        </is>
      </c>
      <c r="E1100" s="35" t="inlineStr">
        <is>
          <t>None</t>
        </is>
      </c>
      <c r="F1100" s="35" t="n"/>
      <c r="G1100" s="35" t="n"/>
      <c r="H1100" s="35" t="n"/>
      <c r="I1100" s="35" t="n"/>
      <c r="J1100" s="16" t="n"/>
    </row>
    <row r="1101">
      <c r="A1101" s="41" t="b">
        <v>1</v>
      </c>
      <c r="B1101" s="31" t="inlineStr">
        <is>
          <t>Swinging Along the High-Rises: Hanging from a High-Rise</t>
        </is>
      </c>
      <c r="C1101" s="35" t="n"/>
      <c r="D1101" s="12" t="inlineStr">
        <is>
          <t>Minimum Jump Height:</t>
        </is>
      </c>
      <c r="E1101" s="34" t="inlineStr">
        <is>
          <t>Single Jump (258)</t>
        </is>
      </c>
      <c r="F1101" s="34" t="n"/>
      <c r="G1101" s="34" t="n"/>
      <c r="H1101" s="34" t="n"/>
      <c r="I1101" s="34" t="n"/>
      <c r="J1101" s="16" t="n"/>
    </row>
    <row r="1102">
      <c r="B1102" s="42" t="n"/>
      <c r="D1102" s="12" t="inlineStr">
        <is>
          <t>Cap Throws that work:</t>
        </is>
      </c>
      <c r="E1102" s="34" t="inlineStr">
        <is>
          <t>No Cap Throw Needed</t>
        </is>
      </c>
      <c r="F1102" s="34" t="n"/>
      <c r="G1102" s="34" t="n"/>
      <c r="H1102" s="34" t="n"/>
      <c r="I1102" s="34" t="n"/>
      <c r="J1102" s="16" t="n"/>
    </row>
    <row r="1103">
      <c r="A1103" s="43" t="n"/>
      <c r="B1103" s="44" t="n"/>
      <c r="C1103" s="43" t="n"/>
      <c r="D1103" s="19" t="inlineStr">
        <is>
          <t>Other Required:</t>
        </is>
      </c>
      <c r="E1103" s="35" t="inlineStr">
        <is>
          <t>Capture</t>
        </is>
      </c>
      <c r="F1103" s="35" t="n"/>
      <c r="G1103" s="35" t="n"/>
      <c r="H1103" s="35" t="n"/>
      <c r="I1103" s="35" t="n"/>
      <c r="J1103" s="16" t="n"/>
    </row>
    <row r="1104">
      <c r="A1104" s="41" t="b">
        <v>1</v>
      </c>
      <c r="B1104" s="31" t="inlineStr">
        <is>
          <t>Swinging Along the High-Rises: Vaulting Up a High-Rise</t>
        </is>
      </c>
      <c r="C1104" s="35" t="n"/>
      <c r="D1104" s="12" t="inlineStr">
        <is>
          <t>Minimum Jump Height:</t>
        </is>
      </c>
      <c r="E1104" s="34" t="inlineStr">
        <is>
          <t>Single Jump (258)</t>
        </is>
      </c>
      <c r="F1104" s="34" t="n"/>
      <c r="G1104" s="34" t="n"/>
      <c r="H1104" s="34" t="n"/>
      <c r="I1104" s="34" t="n"/>
      <c r="J1104" s="16" t="n"/>
    </row>
    <row r="1105">
      <c r="B1105" s="42" t="n"/>
      <c r="D1105" s="12" t="inlineStr">
        <is>
          <t>Cap Throws that work:</t>
        </is>
      </c>
      <c r="E1105" s="34" t="inlineStr">
        <is>
          <t>No Cap Throw Needed</t>
        </is>
      </c>
      <c r="F1105" s="34" t="n"/>
      <c r="G1105" s="34" t="n"/>
      <c r="H1105" s="34" t="n"/>
      <c r="I1105" s="34" t="n"/>
      <c r="J1105" s="16" t="n"/>
    </row>
    <row r="1106">
      <c r="A1106" s="43" t="n"/>
      <c r="B1106" s="44" t="n"/>
      <c r="C1106" s="43" t="n"/>
      <c r="D1106" s="19" t="inlineStr">
        <is>
          <t>Other Required:</t>
        </is>
      </c>
      <c r="E1106" s="35" t="inlineStr">
        <is>
          <t>Capture, Wall Slide</t>
        </is>
      </c>
      <c r="F1106" s="35" t="n"/>
      <c r="G1106" s="35" t="n"/>
      <c r="H1106" s="35" t="n"/>
      <c r="I1106" s="35" t="n"/>
      <c r="J1106" s="16" t="n"/>
    </row>
    <row r="1107">
      <c r="A1107" s="41" t="b">
        <v>1</v>
      </c>
      <c r="B1107" s="31" t="inlineStr">
        <is>
          <t>Bullet Billding: Bullet Billding</t>
        </is>
      </c>
      <c r="C1107" s="35" t="n"/>
      <c r="D1107" s="12" t="inlineStr">
        <is>
          <t>Minimum Jump Height:</t>
        </is>
      </c>
      <c r="E1107" s="34" t="inlineStr">
        <is>
          <t>Single Jump (258)</t>
        </is>
      </c>
      <c r="F1107" s="34" t="n"/>
      <c r="G1107" s="34" t="n"/>
      <c r="H1107" s="34" t="n"/>
      <c r="I1107" s="34" t="n"/>
      <c r="J1107" s="16" t="n"/>
    </row>
    <row r="1108">
      <c r="B1108" s="42" t="n"/>
      <c r="D1108" s="12" t="inlineStr">
        <is>
          <t>Cap Throws that work:</t>
        </is>
      </c>
      <c r="E1108" s="34" t="inlineStr">
        <is>
          <t>No Cap Throw Needed</t>
        </is>
      </c>
      <c r="F1108" s="34" t="n"/>
      <c r="G1108" s="34" t="n"/>
      <c r="H1108" s="34" t="n"/>
      <c r="I1108" s="34" t="n"/>
      <c r="J1108" s="16" t="n"/>
    </row>
    <row r="1109">
      <c r="A1109" s="43" t="n"/>
      <c r="B1109" s="44" t="n"/>
      <c r="C1109" s="43" t="n"/>
      <c r="D1109" s="19" t="inlineStr">
        <is>
          <t>Other Required:</t>
        </is>
      </c>
      <c r="E1109" s="35" t="inlineStr">
        <is>
          <t>Climb</t>
        </is>
      </c>
      <c r="F1109" s="35" t="n"/>
      <c r="G1109" s="35" t="n"/>
      <c r="H1109" s="35" t="n"/>
      <c r="I1109" s="35" t="n"/>
      <c r="J1109" s="16" t="n"/>
    </row>
    <row r="1110">
      <c r="A1110" s="41" t="b">
        <v>1</v>
      </c>
      <c r="B1110" s="31" t="inlineStr">
        <is>
          <t>Bullet Billding: One Man's Trash...</t>
        </is>
      </c>
      <c r="C1110" s="35" t="inlineStr">
        <is>
          <t>Bullet Bill</t>
        </is>
      </c>
      <c r="D1110" s="12" t="inlineStr">
        <is>
          <t>Minimum Jump Height:</t>
        </is>
      </c>
      <c r="E1110" s="34" t="inlineStr">
        <is>
          <t>Long Jump</t>
        </is>
      </c>
      <c r="F1110" s="34" t="inlineStr">
        <is>
          <t>Single Jump (258)</t>
        </is>
      </c>
      <c r="G1110" s="34" t="n"/>
      <c r="H1110" s="34" t="n"/>
      <c r="I1110" s="34" t="n"/>
      <c r="J1110" s="16" t="n"/>
    </row>
    <row r="1111">
      <c r="B1111" s="42" t="n"/>
      <c r="D1111" s="12" t="inlineStr">
        <is>
          <t>Cap Throws that work:</t>
        </is>
      </c>
      <c r="E1111" s="34" t="inlineStr">
        <is>
          <t>Neutral Throw, Up Throw, Down Throw, Spin Throw</t>
        </is>
      </c>
      <c r="F1111" s="34" t="inlineStr">
        <is>
          <t>Neutral Throw, Up Throw, Down Throw, Spin Throw</t>
        </is>
      </c>
      <c r="G1111" s="34" t="n"/>
      <c r="H1111" s="34" t="n"/>
      <c r="I1111" s="34" t="n"/>
      <c r="J1111" s="16" t="n"/>
    </row>
    <row r="1112">
      <c r="A1112" s="43" t="n"/>
      <c r="B1112" s="44" t="n"/>
      <c r="C1112" s="43" t="n"/>
      <c r="D1112" s="19" t="inlineStr">
        <is>
          <t>Other Required:</t>
        </is>
      </c>
      <c r="E1112" s="35" t="inlineStr">
        <is>
          <t>Dive, Climb</t>
        </is>
      </c>
      <c r="F1112" s="35" t="inlineStr">
        <is>
          <t>Capture</t>
        </is>
      </c>
      <c r="G1112" s="35" t="n"/>
      <c r="H1112" s="35" t="n"/>
      <c r="I1112" s="35" t="n"/>
      <c r="J1112" s="16" t="n"/>
    </row>
    <row r="1113">
      <c r="A1113" s="41" t="b">
        <v>1</v>
      </c>
      <c r="B1113" s="31" t="inlineStr">
        <is>
          <t>Scooter Escape!: Motor Scooter: Escape!</t>
        </is>
      </c>
      <c r="C1113" s="35" t="n"/>
      <c r="D1113" s="12" t="inlineStr">
        <is>
          <t>Minimum Jump Height:</t>
        </is>
      </c>
      <c r="E1113" s="34" t="inlineStr">
        <is>
          <t>No Jump Needed</t>
        </is>
      </c>
      <c r="F1113" s="34" t="n"/>
      <c r="G1113" s="34" t="n"/>
      <c r="H1113" s="34" t="n"/>
      <c r="I1113" s="34" t="n"/>
      <c r="J1113" s="16" t="n"/>
    </row>
    <row r="1114">
      <c r="B1114" s="42" t="n"/>
      <c r="D1114" s="12" t="inlineStr">
        <is>
          <t>Cap Throws that work:</t>
        </is>
      </c>
      <c r="E1114" s="34" t="inlineStr">
        <is>
          <t>No Cap Throw Needed</t>
        </is>
      </c>
      <c r="F1114" s="34" t="n"/>
      <c r="G1114" s="34" t="n"/>
      <c r="H1114" s="34" t="n"/>
      <c r="I1114" s="34" t="n"/>
      <c r="J1114" s="16" t="n"/>
    </row>
    <row r="1115">
      <c r="A1115" s="43" t="n"/>
      <c r="B1115" s="44" t="n"/>
      <c r="C1115" s="43" t="n"/>
      <c r="D1115" s="19" t="inlineStr">
        <is>
          <t>Other Required:</t>
        </is>
      </c>
      <c r="E1115" s="35" t="n"/>
      <c r="F1115" s="35" t="n"/>
      <c r="G1115" s="35" t="n"/>
      <c r="H1115" s="35" t="n"/>
      <c r="I1115" s="35" t="n"/>
      <c r="J1115" s="16" t="n"/>
    </row>
    <row r="1116">
      <c r="A1116" s="41" t="b">
        <v>1</v>
      </c>
      <c r="B1116" s="31" t="inlineStr">
        <is>
          <t>Scooter Escape!: Big Jump: Escape!</t>
        </is>
      </c>
      <c r="C1116" s="35" t="n"/>
      <c r="D1116" s="12" t="inlineStr">
        <is>
          <t>Minimum Jump Height:</t>
        </is>
      </c>
      <c r="E1116" s="34" t="inlineStr">
        <is>
          <t>No Jump Needed</t>
        </is>
      </c>
      <c r="F1116" s="34" t="n"/>
      <c r="G1116" s="34" t="n"/>
      <c r="H1116" s="34" t="n"/>
      <c r="I1116" s="34" t="n"/>
      <c r="J1116" s="16" t="n"/>
    </row>
    <row r="1117">
      <c r="B1117" s="42" t="n"/>
      <c r="D1117" s="12" t="inlineStr">
        <is>
          <t>Cap Throws that work:</t>
        </is>
      </c>
      <c r="E1117" s="34" t="inlineStr">
        <is>
          <t>No Cap Throw Needed</t>
        </is>
      </c>
      <c r="F1117" s="34" t="n"/>
      <c r="G1117" s="34" t="n"/>
      <c r="H1117" s="34" t="n"/>
      <c r="I1117" s="34" t="n"/>
      <c r="J1117" s="16" t="n"/>
    </row>
    <row r="1118">
      <c r="A1118" s="43" t="n"/>
      <c r="B1118" s="44" t="n"/>
      <c r="C1118" s="43" t="n"/>
      <c r="D1118" s="19" t="inlineStr">
        <is>
          <t>Other Required:</t>
        </is>
      </c>
      <c r="E1118" s="35" t="n"/>
      <c r="F1118" s="35" t="n"/>
      <c r="G1118" s="35" t="n"/>
      <c r="H1118" s="35" t="n"/>
      <c r="I1118" s="35" t="n"/>
      <c r="J1118" s="16" t="n"/>
    </row>
    <row r="1119">
      <c r="A1119" s="41" t="b">
        <v>1</v>
      </c>
      <c r="B1119" s="31" t="inlineStr">
        <is>
          <t>Metro Kingdom: Secret Path to New Donk City!</t>
        </is>
      </c>
      <c r="C1119" s="35" t="n"/>
      <c r="D1119" s="12" t="inlineStr">
        <is>
          <t>Minimum Jump Height:</t>
        </is>
      </c>
      <c r="E1119" s="34" t="inlineStr">
        <is>
          <t>Long Jump</t>
        </is>
      </c>
      <c r="F1119" s="34" t="n"/>
      <c r="G1119" s="34" t="n"/>
      <c r="H1119" s="34" t="n"/>
      <c r="I1119" s="34" t="n"/>
      <c r="J1119" s="16" t="n"/>
    </row>
    <row r="1120">
      <c r="B1120" s="42" t="n"/>
      <c r="D1120" s="12" t="inlineStr">
        <is>
          <t>Cap Throws that work:</t>
        </is>
      </c>
      <c r="E1120" s="34" t="inlineStr">
        <is>
          <t>No Cap Throw Needed</t>
        </is>
      </c>
      <c r="F1120" s="34" t="n"/>
      <c r="G1120" s="34" t="n"/>
      <c r="H1120" s="34" t="n"/>
      <c r="I1120" s="34" t="n"/>
      <c r="J1120" s="16" t="n"/>
    </row>
    <row r="1121">
      <c r="A1121" s="43" t="n"/>
      <c r="B1121" s="44" t="n"/>
      <c r="C1121" s="43" t="n"/>
      <c r="D1121" s="19" t="inlineStr">
        <is>
          <t>Other Required:</t>
        </is>
      </c>
      <c r="E1121" s="35" t="inlineStr">
        <is>
          <t>None</t>
        </is>
      </c>
      <c r="F1121" s="35" t="n"/>
      <c r="G1121" s="35" t="n"/>
      <c r="H1121" s="35" t="n"/>
      <c r="I1121" s="35" t="n"/>
      <c r="J1121" s="16" t="n"/>
    </row>
    <row r="1122">
      <c r="A1122" s="41" t="b">
        <v>1</v>
      </c>
      <c r="B1122" s="31" t="inlineStr">
        <is>
          <t>Metro Kingdom: A Tourist in the Metro Kingdom!</t>
        </is>
      </c>
      <c r="C1122" s="35" t="n"/>
      <c r="D1122" s="12" t="inlineStr">
        <is>
          <t>Minimum Jump Height:</t>
        </is>
      </c>
      <c r="E1122" s="34" t="inlineStr">
        <is>
          <t>No Jump Needed</t>
        </is>
      </c>
      <c r="F1122" s="34" t="n"/>
      <c r="G1122" s="34" t="n"/>
      <c r="H1122" s="34" t="n"/>
      <c r="I1122" s="34" t="n"/>
      <c r="J1122" s="16" t="n"/>
    </row>
    <row r="1123">
      <c r="B1123" s="42" t="n"/>
      <c r="D1123" s="12" t="inlineStr">
        <is>
          <t>Cap Throws that work:</t>
        </is>
      </c>
      <c r="E1123" s="34" t="inlineStr">
        <is>
          <t>Neutral Throw, Up Throw, Down Throw, Spin Throw</t>
        </is>
      </c>
      <c r="F1123" s="34" t="n"/>
      <c r="G1123" s="34" t="n"/>
      <c r="H1123" s="34" t="n"/>
      <c r="I1123" s="34" t="n"/>
      <c r="J1123" s="16" t="n"/>
    </row>
    <row r="1124">
      <c r="A1124" s="43" t="n"/>
      <c r="B1124" s="44" t="n"/>
      <c r="C1124" s="43" t="n"/>
      <c r="D1124" s="19" t="inlineStr">
        <is>
          <t>Other Required:</t>
        </is>
      </c>
      <c r="E1124" s="35" t="n"/>
      <c r="F1124" s="35" t="n"/>
      <c r="G1124" s="35" t="n"/>
      <c r="H1124" s="35" t="n"/>
      <c r="I1124" s="35" t="n"/>
      <c r="J1124" s="16" t="n"/>
    </row>
    <row r="1125">
      <c r="A1125" s="41" t="b">
        <v>1</v>
      </c>
      <c r="B1125" s="31" t="inlineStr">
        <is>
          <t>Metro Kingdom: Found with Metro Kingdom Art</t>
        </is>
      </c>
      <c r="C1125" s="35" t="inlineStr">
        <is>
          <t>Glydon</t>
        </is>
      </c>
      <c r="D1125" s="12" t="inlineStr">
        <is>
          <t>Minimum Jump Height:</t>
        </is>
      </c>
      <c r="E1125" s="34" t="inlineStr">
        <is>
          <t>Long Jump</t>
        </is>
      </c>
      <c r="F1125" s="34" t="n"/>
      <c r="G1125" s="34" t="n"/>
      <c r="H1125" s="34" t="n"/>
      <c r="I1125" s="34" t="n"/>
      <c r="J1125" s="16" t="n"/>
    </row>
    <row r="1126">
      <c r="B1126" s="42" t="n"/>
      <c r="D1126" s="12" t="inlineStr">
        <is>
          <t>Cap Throws that work:</t>
        </is>
      </c>
      <c r="E1126" s="34" t="inlineStr">
        <is>
          <t>Neutral Throw, Up Throw, Down Throw, Spin Throw</t>
        </is>
      </c>
      <c r="F1126" s="34" t="n"/>
      <c r="G1126" s="34" t="n"/>
      <c r="H1126" s="34" t="n"/>
      <c r="I1126" s="34" t="n"/>
      <c r="J1126" s="16" t="n"/>
    </row>
    <row r="1127">
      <c r="A1127" s="43" t="n"/>
      <c r="B1127" s="44" t="n"/>
      <c r="C1127" s="43" t="n"/>
      <c r="D1127" s="19" t="inlineStr">
        <is>
          <t>Other Required:</t>
        </is>
      </c>
      <c r="E1127" s="35" t="inlineStr">
        <is>
          <t>, Ground Pound, Capture</t>
        </is>
      </c>
      <c r="F1127" s="35" t="n"/>
      <c r="G1127" s="35" t="n"/>
      <c r="H1127" s="35" t="n"/>
      <c r="I1127" s="35" t="n"/>
      <c r="J1127" s="16" t="n"/>
    </row>
    <row r="1128">
      <c r="A1128" s="41" t="b">
        <v>1</v>
      </c>
      <c r="B1128" s="31" t="inlineStr">
        <is>
          <t>Metro Kingdom: Bird Traveling in the City</t>
        </is>
      </c>
      <c r="C1128" s="35" t="n"/>
      <c r="D1128" s="12" t="inlineStr">
        <is>
          <t>Minimum Jump Height:</t>
        </is>
      </c>
      <c r="E1128" s="34" t="inlineStr">
        <is>
          <t>Long Jump</t>
        </is>
      </c>
      <c r="F1128" s="34" t="n"/>
      <c r="G1128" s="34" t="n"/>
      <c r="H1128" s="34" t="n"/>
      <c r="I1128" s="34" t="n"/>
      <c r="J1128" s="16" t="n"/>
    </row>
    <row r="1129">
      <c r="B1129" s="42" t="n"/>
      <c r="D1129" s="12" t="inlineStr">
        <is>
          <t>Cap Throws that work:</t>
        </is>
      </c>
      <c r="E1129" s="34" t="inlineStr">
        <is>
          <t>Neutral Throw, Up Throw, Down Throw, Spin Throw</t>
        </is>
      </c>
      <c r="F1129" s="34" t="n"/>
      <c r="G1129" s="34" t="n"/>
      <c r="H1129" s="34" t="n"/>
      <c r="I1129" s="34" t="n"/>
      <c r="J1129" s="16" t="n"/>
    </row>
    <row r="1130">
      <c r="A1130" s="43" t="n"/>
      <c r="B1130" s="44" t="n"/>
      <c r="C1130" s="43" t="n"/>
      <c r="D1130" s="19" t="inlineStr">
        <is>
          <t>Other Required:</t>
        </is>
      </c>
      <c r="E1130" s="35" t="n"/>
      <c r="F1130" s="35" t="n"/>
      <c r="G1130" s="35" t="n"/>
      <c r="H1130" s="35" t="n"/>
      <c r="I1130" s="35" t="n"/>
      <c r="J1130" s="16" t="n"/>
    </row>
    <row r="1131">
      <c r="A1131" s="41" t="b">
        <v>1</v>
      </c>
      <c r="B1131" s="31" t="inlineStr">
        <is>
          <t>Metro Kingdom: Mario Signs His Name</t>
        </is>
      </c>
      <c r="C1131" s="35" t="inlineStr">
        <is>
          <t>Letter</t>
        </is>
      </c>
      <c r="D1131" s="12" t="inlineStr">
        <is>
          <t>Minimum Jump Height:</t>
        </is>
      </c>
      <c r="E1131" s="34" t="inlineStr">
        <is>
          <t>Single Jump (258)</t>
        </is>
      </c>
      <c r="F1131" s="34" t="n"/>
      <c r="G1131" s="34" t="n"/>
      <c r="H1131" s="34" t="n"/>
      <c r="I1131" s="34" t="n"/>
      <c r="J1131" s="16" t="n"/>
    </row>
    <row r="1132">
      <c r="B1132" s="42" t="n"/>
      <c r="D1132" s="12" t="inlineStr">
        <is>
          <t>Cap Throws that work:</t>
        </is>
      </c>
      <c r="E1132" s="34" t="inlineStr">
        <is>
          <t>Neutral Throw, Up Throw, Down Throw, Spin Throw</t>
        </is>
      </c>
      <c r="F1132" s="34" t="n"/>
      <c r="G1132" s="34" t="n"/>
      <c r="H1132" s="34" t="n"/>
      <c r="I1132" s="34" t="n"/>
      <c r="J1132" s="16" t="n"/>
    </row>
    <row r="1133">
      <c r="A1133" s="43" t="n"/>
      <c r="B1133" s="44" t="n"/>
      <c r="C1133" s="43" t="n"/>
      <c r="D1133" s="19" t="inlineStr">
        <is>
          <t>Other Required:</t>
        </is>
      </c>
      <c r="E1133" s="35" t="inlineStr">
        <is>
          <t>Capture</t>
        </is>
      </c>
      <c r="F1133" s="35" t="n"/>
      <c r="G1133" s="35" t="n"/>
      <c r="H1133" s="35" t="n"/>
      <c r="I1133" s="35" t="n"/>
      <c r="J1133" s="16" t="n"/>
    </row>
    <row r="1134">
      <c r="A1134" s="41" t="b">
        <v>1</v>
      </c>
      <c r="B1134" s="31" t="inlineStr">
        <is>
          <t>Metro Kingdom: Surprise Clown!</t>
        </is>
      </c>
      <c r="C1134" s="35" t="n"/>
      <c r="D1134" s="12" t="inlineStr">
        <is>
          <t>Minimum Jump Height:</t>
        </is>
      </c>
      <c r="E1134" s="34" t="inlineStr">
        <is>
          <t>No Jump Needed</t>
        </is>
      </c>
      <c r="F1134" s="34" t="n"/>
      <c r="G1134" s="34" t="n"/>
      <c r="H1134" s="34" t="n"/>
      <c r="I1134" s="34" t="n"/>
      <c r="J1134" s="16" t="n"/>
    </row>
    <row r="1135">
      <c r="B1135" s="42" t="n"/>
      <c r="D1135" s="12" t="inlineStr">
        <is>
          <t>Cap Throws that work:</t>
        </is>
      </c>
      <c r="E1135" s="34" t="inlineStr">
        <is>
          <t>Neutral Throw, Up Throw, Down Throw, Spin Throw</t>
        </is>
      </c>
      <c r="F1135" s="34" t="n"/>
      <c r="G1135" s="34" t="n"/>
      <c r="H1135" s="34" t="n"/>
      <c r="I1135" s="34" t="n"/>
      <c r="J1135" s="16" t="n"/>
    </row>
    <row r="1136">
      <c r="A1136" s="43" t="n"/>
      <c r="B1136" s="44" t="n"/>
      <c r="C1136" s="43" t="n"/>
      <c r="D1136" s="19" t="inlineStr">
        <is>
          <t>Other Required:</t>
        </is>
      </c>
      <c r="E1136" s="35" t="n"/>
      <c r="F1136" s="35" t="n"/>
      <c r="G1136" s="35" t="n"/>
      <c r="H1136" s="35" t="n"/>
      <c r="I1136" s="35" t="n"/>
      <c r="J1136" s="16" t="n"/>
    </row>
    <row r="1137">
      <c r="A1137" s="41" t="b">
        <v>1</v>
      </c>
      <c r="B1137" s="31" t="inlineStr">
        <is>
          <t>Metro Kingdom: A Request from the Mayor</t>
        </is>
      </c>
      <c r="C1137" s="35" t="n"/>
      <c r="D1137" s="12" t="inlineStr">
        <is>
          <t>Minimum Jump Height:</t>
        </is>
      </c>
      <c r="E1137" s="34" t="inlineStr">
        <is>
          <t>Long Jump</t>
        </is>
      </c>
      <c r="F1137" s="34" t="n"/>
      <c r="G1137" s="34" t="n"/>
      <c r="H1137" s="34" t="n"/>
      <c r="I1137" s="34" t="n"/>
      <c r="J1137" s="16" t="n"/>
    </row>
    <row r="1138">
      <c r="B1138" s="42" t="n"/>
      <c r="D1138" s="12" t="inlineStr">
        <is>
          <t>Cap Throws that work:</t>
        </is>
      </c>
      <c r="E1138" s="34" t="inlineStr">
        <is>
          <t>Neutral Throw, Up Throw, Down Throw, Spin Throw</t>
        </is>
      </c>
      <c r="F1138" s="34" t="n"/>
      <c r="G1138" s="34" t="n"/>
      <c r="H1138" s="34" t="n"/>
      <c r="I1138" s="34" t="n"/>
      <c r="J1138" s="16" t="n"/>
    </row>
    <row r="1139">
      <c r="A1139" s="43" t="n"/>
      <c r="B1139" s="44" t="n"/>
      <c r="C1139" s="43" t="n"/>
      <c r="D1139" s="19" t="inlineStr">
        <is>
          <t>Other Required:</t>
        </is>
      </c>
      <c r="E1139" s="35" t="n"/>
      <c r="F1139" s="35" t="n"/>
      <c r="G1139" s="35" t="n"/>
      <c r="H1139" s="35" t="n"/>
      <c r="I1139" s="35" t="n"/>
      <c r="J1139" s="16" t="n"/>
    </row>
    <row r="1140">
      <c r="A1140" s="41" t="b">
        <v>1</v>
      </c>
      <c r="B1140" s="31" t="inlineStr">
        <is>
          <t>Metro Kingdom: Jammin' in the Metro Kingdom</t>
        </is>
      </c>
      <c r="C1140" s="35" t="n"/>
      <c r="D1140" s="12" t="inlineStr">
        <is>
          <t>Minimum Jump Height:</t>
        </is>
      </c>
      <c r="E1140" s="34" t="inlineStr">
        <is>
          <t>No Jump Needed</t>
        </is>
      </c>
      <c r="F1140" s="34" t="n"/>
      <c r="G1140" s="34" t="n"/>
      <c r="H1140" s="34" t="n"/>
      <c r="I1140" s="34" t="n"/>
      <c r="J1140" s="16" t="n"/>
    </row>
    <row r="1141">
      <c r="B1141" s="42" t="n"/>
      <c r="D1141" s="12" t="inlineStr">
        <is>
          <t>Cap Throws that work:</t>
        </is>
      </c>
      <c r="E1141" s="34" t="inlineStr">
        <is>
          <t>Neutral Throw, Up Throw, Down Throw, Spin Throw</t>
        </is>
      </c>
      <c r="F1141" s="34" t="n"/>
      <c r="G1141" s="34" t="n"/>
      <c r="H1141" s="34" t="n"/>
      <c r="I1141" s="34" t="n"/>
      <c r="J1141" s="16" t="n"/>
    </row>
    <row r="1142">
      <c r="A1142" s="43" t="n"/>
      <c r="B1142" s="44" t="n"/>
      <c r="C1142" s="43" t="n"/>
      <c r="D1142" s="19" t="inlineStr">
        <is>
          <t>Other Required:</t>
        </is>
      </c>
      <c r="E1142" s="35" t="n"/>
      <c r="F1142" s="35" t="n"/>
      <c r="G1142" s="35" t="n"/>
      <c r="H1142" s="35" t="n"/>
      <c r="I1142" s="35" t="n"/>
      <c r="J1142" s="16" t="n"/>
    </row>
    <row r="1143">
      <c r="A1143" s="41" t="b">
        <v>1</v>
      </c>
      <c r="B1143" s="31" t="inlineStr">
        <is>
          <t>Metro Kingdom: Sphynx in the City</t>
        </is>
      </c>
      <c r="C1143" s="35" t="inlineStr">
        <is>
          <t>Binoculars</t>
        </is>
      </c>
      <c r="D1143" s="12" t="inlineStr">
        <is>
          <t>Minimum Jump Height:</t>
        </is>
      </c>
      <c r="E1143" s="34" t="inlineStr">
        <is>
          <t>Long Jump</t>
        </is>
      </c>
      <c r="F1143" s="34" t="n"/>
      <c r="G1143" s="34" t="n"/>
      <c r="H1143" s="34" t="n"/>
      <c r="I1143" s="34" t="n"/>
      <c r="J1143" s="16" t="n"/>
    </row>
    <row r="1144">
      <c r="B1144" s="42" t="n"/>
      <c r="D1144" s="12" t="inlineStr">
        <is>
          <t>Cap Throws that work:</t>
        </is>
      </c>
      <c r="E1144" s="34" t="inlineStr">
        <is>
          <t>Neutral Throw, Up Throw, Down Throw, Spin Throw</t>
        </is>
      </c>
      <c r="F1144" s="34" t="n"/>
      <c r="G1144" s="34" t="n"/>
      <c r="H1144" s="34" t="n"/>
      <c r="I1144" s="34" t="n"/>
      <c r="J1144" s="16" t="n"/>
    </row>
    <row r="1145">
      <c r="A1145" s="43" t="n"/>
      <c r="B1145" s="44" t="n"/>
      <c r="C1145" s="43" t="n"/>
      <c r="D1145" s="19" t="inlineStr">
        <is>
          <t>Other Required:</t>
        </is>
      </c>
      <c r="E1145" s="35" t="inlineStr">
        <is>
          <t>Capture</t>
        </is>
      </c>
      <c r="F1145" s="35" t="n"/>
      <c r="G1145" s="35" t="n"/>
      <c r="H1145" s="35" t="n"/>
      <c r="I1145" s="35" t="n"/>
      <c r="J1145" s="16" t="n"/>
    </row>
    <row r="1146">
      <c r="A1146" s="41" t="b">
        <v>1</v>
      </c>
      <c r="B1146" s="31" t="inlineStr">
        <is>
          <t>Metro Kingdom: Free Parking: Leap of Faith</t>
        </is>
      </c>
      <c r="C1146" s="35" t="n"/>
      <c r="D1146" s="12" t="inlineStr">
        <is>
          <t>Minimum Jump Height:</t>
        </is>
      </c>
      <c r="E1146" s="34" t="inlineStr">
        <is>
          <t>No Jump Needed</t>
        </is>
      </c>
      <c r="F1146" s="34" t="n"/>
      <c r="G1146" s="34" t="n"/>
      <c r="H1146" s="34" t="n"/>
      <c r="I1146" s="34" t="n"/>
      <c r="J1146" s="16" t="n"/>
    </row>
    <row r="1147">
      <c r="B1147" s="42" t="n"/>
      <c r="D1147" s="12" t="inlineStr">
        <is>
          <t>Cap Throws that work:</t>
        </is>
      </c>
      <c r="E1147" s="34" t="inlineStr">
        <is>
          <t>Neutral Throw, Up Throw, Down Throw, Spin Throw</t>
        </is>
      </c>
      <c r="F1147" s="34" t="n"/>
      <c r="G1147" s="34" t="n"/>
      <c r="H1147" s="34" t="n"/>
      <c r="I1147" s="34" t="n"/>
      <c r="J1147" s="16" t="n"/>
    </row>
    <row r="1148">
      <c r="A1148" s="43" t="n"/>
      <c r="B1148" s="44" t="n"/>
      <c r="C1148" s="43" t="n"/>
      <c r="D1148" s="19" t="inlineStr">
        <is>
          <t>Other Required:</t>
        </is>
      </c>
      <c r="E1148" s="35" t="n"/>
      <c r="F1148" s="35" t="n"/>
      <c r="G1148" s="35" t="n"/>
      <c r="H1148" s="35" t="n"/>
      <c r="I1148" s="35" t="n"/>
      <c r="J1148" s="16" t="n"/>
    </row>
    <row r="1149">
      <c r="A1149" s="41" t="b">
        <v>1</v>
      </c>
      <c r="B1149" s="31" t="inlineStr">
        <is>
          <t>Metro Kingdom: Metro Kingdom Regular Cup</t>
        </is>
      </c>
      <c r="C1149" s="35" t="n"/>
      <c r="D1149" s="12" t="inlineStr">
        <is>
          <t>Minimum Jump Height:</t>
        </is>
      </c>
      <c r="E1149" s="34" t="inlineStr">
        <is>
          <t>No Jump Needed</t>
        </is>
      </c>
      <c r="F1149" s="34" t="n"/>
      <c r="G1149" s="34" t="n"/>
      <c r="H1149" s="34" t="n"/>
      <c r="I1149" s="34" t="n"/>
      <c r="J1149" s="16" t="n"/>
    </row>
    <row r="1150">
      <c r="B1150" s="42" t="n"/>
      <c r="D1150" s="12" t="inlineStr">
        <is>
          <t>Cap Throws that work:</t>
        </is>
      </c>
      <c r="E1150" s="34" t="inlineStr">
        <is>
          <t>Neutral Throw, Up Throw, Down Throw, Spin Throw</t>
        </is>
      </c>
      <c r="F1150" s="34" t="n"/>
      <c r="G1150" s="34" t="n"/>
      <c r="H1150" s="34" t="n"/>
      <c r="I1150" s="34" t="n"/>
      <c r="J1150" s="16" t="n"/>
    </row>
    <row r="1151">
      <c r="A1151" s="43" t="n"/>
      <c r="B1151" s="44" t="n"/>
      <c r="C1151" s="43" t="n"/>
      <c r="D1151" s="19" t="inlineStr">
        <is>
          <t>Other Required:</t>
        </is>
      </c>
      <c r="E1151" s="35" t="n"/>
      <c r="F1151" s="35" t="n"/>
      <c r="G1151" s="35" t="n"/>
      <c r="H1151" s="35" t="n"/>
      <c r="I1151" s="35" t="n"/>
      <c r="J1151" s="16" t="n"/>
    </row>
    <row r="1152">
      <c r="A1152" s="41" t="b">
        <v>1</v>
      </c>
      <c r="B1152" s="31" t="inlineStr">
        <is>
          <t>Metro Kingdom: Hat-and-Seek: In the City</t>
        </is>
      </c>
      <c r="C1152" s="35" t="n"/>
      <c r="D1152" s="12" t="inlineStr">
        <is>
          <t>Minimum Jump Height:</t>
        </is>
      </c>
      <c r="E1152" s="34" t="inlineStr">
        <is>
          <t>No Jump Needed</t>
        </is>
      </c>
      <c r="F1152" s="34" t="n"/>
      <c r="G1152" s="34" t="n"/>
      <c r="H1152" s="34" t="n"/>
      <c r="I1152" s="34" t="n"/>
      <c r="J1152" s="16" t="n"/>
    </row>
    <row r="1153">
      <c r="B1153" s="42" t="n"/>
      <c r="D1153" s="12" t="inlineStr">
        <is>
          <t>Cap Throws that work:</t>
        </is>
      </c>
      <c r="E1153" s="34" t="inlineStr">
        <is>
          <t>Neutral Throw, Up Throw, Down Throw, Spin Throw</t>
        </is>
      </c>
      <c r="F1153" s="34" t="n"/>
      <c r="G1153" s="34" t="n"/>
      <c r="H1153" s="34" t="n"/>
      <c r="I1153" s="34" t="n"/>
      <c r="J1153" s="16" t="n"/>
    </row>
    <row r="1154">
      <c r="A1154" s="43" t="n"/>
      <c r="B1154" s="44" t="n"/>
      <c r="C1154" s="43" t="n"/>
      <c r="D1154" s="19" t="inlineStr">
        <is>
          <t>Other Required:</t>
        </is>
      </c>
      <c r="E1154" s="35" t="n"/>
      <c r="F1154" s="35" t="n"/>
      <c r="G1154" s="35" t="n"/>
      <c r="H1154" s="35" t="n"/>
      <c r="I1154" s="35" t="n"/>
      <c r="J1154" s="16" t="n"/>
    </row>
    <row r="1155">
      <c r="A1155" s="41" t="b">
        <v>1</v>
      </c>
      <c r="B1155" s="31" t="inlineStr">
        <is>
          <t>Sewers: Powering Up the Power Plant</t>
        </is>
      </c>
      <c r="C1155" s="35" t="n"/>
      <c r="D1155" s="12" t="inlineStr">
        <is>
          <t>Minimum Jump Height:</t>
        </is>
      </c>
      <c r="E1155" s="34" t="inlineStr">
        <is>
          <t>Cap Return Jump (400)</t>
        </is>
      </c>
      <c r="F1155" s="34" t="inlineStr">
        <is>
          <t>Single Jump (258)</t>
        </is>
      </c>
      <c r="G1155" s="34" t="n"/>
      <c r="H1155" s="34" t="n"/>
      <c r="I1155" s="34" t="n"/>
      <c r="J1155" s="16" t="n"/>
    </row>
    <row r="1156">
      <c r="B1156" s="42" t="n"/>
      <c r="D1156" s="12" t="inlineStr">
        <is>
          <t>Cap Throws that work:</t>
        </is>
      </c>
      <c r="E1156" s="34" t="inlineStr">
        <is>
          <t>Neutral Throw, Up Throw, Down Throw, Spin Throw</t>
        </is>
      </c>
      <c r="F1156" s="34" t="inlineStr">
        <is>
          <t>Neutral Throw, Spin Throw</t>
        </is>
      </c>
      <c r="G1156" s="34" t="n"/>
      <c r="H1156" s="34" t="n"/>
      <c r="I1156" s="34" t="n"/>
      <c r="J1156" s="16" t="n"/>
    </row>
    <row r="1157">
      <c r="A1157" s="43" t="n"/>
      <c r="B1157" s="44" t="n"/>
      <c r="C1157" s="43" t="n"/>
      <c r="D1157" s="19" t="inlineStr">
        <is>
          <t>Other Required:</t>
        </is>
      </c>
      <c r="E1157" s="35" t="inlineStr">
        <is>
          <t>None</t>
        </is>
      </c>
      <c r="F1157" s="35" t="inlineStr">
        <is>
          <t>None</t>
        </is>
      </c>
      <c r="G1157" s="35" t="n"/>
      <c r="H1157" s="35" t="n"/>
      <c r="I1157" s="35" t="n"/>
      <c r="J1157" s="16" t="n"/>
    </row>
    <row r="1158">
      <c r="A1158" s="41" t="b">
        <v>1</v>
      </c>
      <c r="B1158" s="31" t="inlineStr">
        <is>
          <t>On the Big Screen: Up on the Big Screen</t>
        </is>
      </c>
      <c r="C1158" s="35" t="n"/>
      <c r="D1158" s="12" t="inlineStr">
        <is>
          <t>Minimum Jump Height:</t>
        </is>
      </c>
      <c r="E1158" s="34" t="inlineStr">
        <is>
          <t>Long Jump</t>
        </is>
      </c>
      <c r="F1158" s="34" t="n"/>
      <c r="G1158" s="34" t="n"/>
      <c r="H1158" s="34" t="n"/>
      <c r="I1158" s="34" t="n"/>
      <c r="J1158" s="16" t="n"/>
    </row>
    <row r="1159">
      <c r="B1159" s="42" t="n"/>
      <c r="D1159" s="12" t="inlineStr">
        <is>
          <t>Cap Throws that work:</t>
        </is>
      </c>
      <c r="E1159" s="34" t="inlineStr">
        <is>
          <t>No Cap Throw Needed</t>
        </is>
      </c>
      <c r="F1159" s="34" t="n"/>
      <c r="G1159" s="34" t="n"/>
      <c r="H1159" s="34" t="n"/>
      <c r="I1159" s="34" t="n"/>
      <c r="J1159" s="16" t="n"/>
    </row>
    <row r="1160">
      <c r="A1160" s="43" t="n"/>
      <c r="B1160" s="44" t="n"/>
      <c r="C1160" s="43" t="n"/>
      <c r="D1160" s="19" t="inlineStr">
        <is>
          <t>Other Required:</t>
        </is>
      </c>
      <c r="E1160" s="35" t="n"/>
      <c r="F1160" s="35" t="n"/>
      <c r="G1160" s="35" t="n"/>
      <c r="H1160" s="35" t="n"/>
      <c r="I1160" s="35" t="n"/>
      <c r="J1160" s="16" t="n"/>
    </row>
    <row r="1161">
      <c r="A1161" s="41" t="b">
        <v>1</v>
      </c>
      <c r="B1161" s="31" t="inlineStr">
        <is>
          <t>On the Big Screen: Down Inside the Big Screen</t>
        </is>
      </c>
      <c r="C1161" s="35" t="n"/>
      <c r="D1161" s="12" t="inlineStr">
        <is>
          <t>Minimum Jump Height:</t>
        </is>
      </c>
      <c r="E1161" s="34" t="inlineStr">
        <is>
          <t>Long Jump</t>
        </is>
      </c>
      <c r="F1161" s="34" t="n"/>
      <c r="G1161" s="34" t="n"/>
      <c r="H1161" s="34" t="n"/>
      <c r="I1161" s="34" t="n"/>
      <c r="J1161" s="16" t="n"/>
    </row>
    <row r="1162">
      <c r="B1162" s="42" t="n"/>
      <c r="D1162" s="12" t="inlineStr">
        <is>
          <t>Cap Throws that work:</t>
        </is>
      </c>
      <c r="E1162" s="34" t="inlineStr">
        <is>
          <t>No Cap Throw Needed</t>
        </is>
      </c>
      <c r="F1162" s="34" t="n"/>
      <c r="G1162" s="34" t="n"/>
      <c r="H1162" s="34" t="n"/>
      <c r="I1162" s="34" t="n"/>
      <c r="J1162" s="16" t="n"/>
    </row>
    <row r="1163">
      <c r="A1163" s="43" t="n"/>
      <c r="B1163" s="44" t="n"/>
      <c r="C1163" s="43" t="n"/>
      <c r="D1163" s="19" t="inlineStr">
        <is>
          <t>Other Required:</t>
        </is>
      </c>
      <c r="E1163" s="35" t="n"/>
      <c r="F1163" s="35" t="n"/>
      <c r="G1163" s="35" t="n"/>
      <c r="H1163" s="35" t="n"/>
      <c r="I1163" s="35" t="n"/>
      <c r="J1163" s="16" t="n"/>
    </row>
    <row r="1164">
      <c r="A1164" s="41" t="b">
        <v>1</v>
      </c>
      <c r="B1164" s="31" t="inlineStr">
        <is>
          <t>Metro Kingdom: Peach in the Metro Kingdom</t>
        </is>
      </c>
      <c r="C1164" s="35" t="n"/>
      <c r="D1164" s="12" t="inlineStr">
        <is>
          <t>Minimum Jump Height:</t>
        </is>
      </c>
      <c r="E1164" s="34" t="inlineStr">
        <is>
          <t>No Jump Needed</t>
        </is>
      </c>
      <c r="F1164" s="34" t="n"/>
      <c r="G1164" s="34" t="n"/>
      <c r="H1164" s="34" t="n"/>
      <c r="I1164" s="34" t="n"/>
      <c r="J1164" s="16" t="n"/>
    </row>
    <row r="1165">
      <c r="B1165" s="42" t="n"/>
      <c r="D1165" s="12" t="inlineStr">
        <is>
          <t>Cap Throws that work:</t>
        </is>
      </c>
      <c r="E1165" s="34" t="inlineStr">
        <is>
          <t>Neutral Throw, Up Throw, Down Throw, Spin Throw</t>
        </is>
      </c>
      <c r="F1165" s="34" t="n"/>
      <c r="G1165" s="34" t="n"/>
      <c r="H1165" s="34" t="n"/>
      <c r="I1165" s="34" t="n"/>
      <c r="J1165" s="16" t="n"/>
    </row>
    <row r="1166">
      <c r="A1166" s="43" t="n"/>
      <c r="B1166" s="44" t="n"/>
      <c r="C1166" s="43" t="n"/>
      <c r="D1166" s="19" t="inlineStr">
        <is>
          <t>Other Required:</t>
        </is>
      </c>
      <c r="E1166" s="35" t="n"/>
      <c r="F1166" s="35" t="n"/>
      <c r="G1166" s="35" t="n"/>
      <c r="H1166" s="35" t="n"/>
      <c r="I1166" s="35" t="n"/>
      <c r="J1166" s="16" t="n"/>
    </row>
    <row r="1167">
      <c r="A1167" s="41" t="b">
        <v>1</v>
      </c>
      <c r="B1167" s="31" t="inlineStr">
        <is>
          <t>Metro Kingdom: Hanging Between Buildings</t>
        </is>
      </c>
      <c r="C1167" s="35" t="n"/>
      <c r="D1167" s="12" t="inlineStr">
        <is>
          <t>Minimum Jump Height:</t>
        </is>
      </c>
      <c r="E1167" s="34" t="inlineStr">
        <is>
          <t>No Jump Needed</t>
        </is>
      </c>
      <c r="F1167" s="34" t="n"/>
      <c r="G1167" s="34" t="n"/>
      <c r="H1167" s="34" t="n"/>
      <c r="I1167" s="34" t="n"/>
      <c r="J1167" s="16" t="n"/>
    </row>
    <row r="1168">
      <c r="B1168" s="42" t="n"/>
      <c r="D1168" s="12" t="inlineStr">
        <is>
          <t>Cap Throws that work:</t>
        </is>
      </c>
      <c r="E1168" s="34" t="inlineStr">
        <is>
          <t>Neutral Throw, Up Throw, Down Throw, Spin Throw</t>
        </is>
      </c>
      <c r="F1168" s="34" t="n"/>
      <c r="G1168" s="34" t="n"/>
      <c r="H1168" s="34" t="n"/>
      <c r="I1168" s="34" t="n"/>
      <c r="J1168" s="16" t="n"/>
    </row>
    <row r="1169">
      <c r="A1169" s="43" t="n"/>
      <c r="B1169" s="44" t="n"/>
      <c r="C1169" s="43" t="n"/>
      <c r="D1169" s="19" t="inlineStr">
        <is>
          <t>Other Required:</t>
        </is>
      </c>
      <c r="E1169" s="35" t="n"/>
      <c r="F1169" s="35" t="n"/>
      <c r="G1169" s="35" t="n"/>
      <c r="H1169" s="35" t="n"/>
      <c r="I1169" s="35" t="n"/>
      <c r="J1169" s="16" t="n"/>
    </row>
    <row r="1170">
      <c r="A1170" s="41" t="b">
        <v>1</v>
      </c>
      <c r="B1170" s="31" t="inlineStr">
        <is>
          <t>Metro Kingdom: Crossing Lines</t>
        </is>
      </c>
      <c r="C1170" s="35" t="n"/>
      <c r="D1170" s="12" t="inlineStr">
        <is>
          <t>Minimum Jump Height:</t>
        </is>
      </c>
      <c r="E1170" s="34" t="inlineStr">
        <is>
          <t>No Jump Needed</t>
        </is>
      </c>
      <c r="F1170" s="34" t="n"/>
      <c r="G1170" s="34" t="n"/>
      <c r="H1170" s="34" t="n"/>
      <c r="I1170" s="34" t="n"/>
      <c r="J1170" s="16" t="n"/>
    </row>
    <row r="1171">
      <c r="B1171" s="42" t="n"/>
      <c r="D1171" s="12" t="inlineStr">
        <is>
          <t>Cap Throws that work:</t>
        </is>
      </c>
      <c r="E1171" s="34" t="inlineStr">
        <is>
          <t>Neutral Throw, Up Throw, Down Throw, Spin Throw</t>
        </is>
      </c>
      <c r="F1171" s="34" t="n"/>
      <c r="G1171" s="34" t="n"/>
      <c r="H1171" s="34" t="n"/>
      <c r="I1171" s="34" t="n"/>
      <c r="J1171" s="16" t="n"/>
    </row>
    <row r="1172">
      <c r="A1172" s="43" t="n"/>
      <c r="B1172" s="44" t="n"/>
      <c r="C1172" s="43" t="n"/>
      <c r="D1172" s="19" t="inlineStr">
        <is>
          <t>Other Required:</t>
        </is>
      </c>
      <c r="E1172" s="35" t="n"/>
      <c r="F1172" s="35" t="n"/>
      <c r="G1172" s="35" t="n"/>
      <c r="H1172" s="35" t="n"/>
      <c r="I1172" s="35" t="n"/>
      <c r="J1172" s="16" t="n"/>
    </row>
    <row r="1173">
      <c r="A1173" s="41" t="b">
        <v>1</v>
      </c>
      <c r="B1173" s="31" t="inlineStr">
        <is>
          <t>Metro Kingdom: Out of a Crate in the City</t>
        </is>
      </c>
      <c r="C1173" s="35" t="n"/>
      <c r="D1173" s="12" t="inlineStr">
        <is>
          <t>Minimum Jump Height:</t>
        </is>
      </c>
      <c r="E1173" s="34" t="inlineStr">
        <is>
          <t>No Jump Needed</t>
        </is>
      </c>
      <c r="F1173" s="34" t="n"/>
      <c r="G1173" s="34" t="n"/>
      <c r="H1173" s="34" t="n"/>
      <c r="I1173" s="34" t="n"/>
      <c r="J1173" s="16" t="n"/>
    </row>
    <row r="1174">
      <c r="B1174" s="42" t="n"/>
      <c r="D1174" s="12" t="inlineStr">
        <is>
          <t>Cap Throws that work:</t>
        </is>
      </c>
      <c r="E1174" s="34" t="inlineStr">
        <is>
          <t>Neutral Throw, Up Throw, Down Throw, Spin Throw</t>
        </is>
      </c>
      <c r="F1174" s="34" t="n"/>
      <c r="G1174" s="34" t="n"/>
      <c r="H1174" s="34" t="n"/>
      <c r="I1174" s="34" t="n"/>
      <c r="J1174" s="16" t="n"/>
    </row>
    <row r="1175">
      <c r="A1175" s="43" t="n"/>
      <c r="B1175" s="44" t="n"/>
      <c r="C1175" s="43" t="n"/>
      <c r="D1175" s="19" t="inlineStr">
        <is>
          <t>Other Required:</t>
        </is>
      </c>
      <c r="E1175" s="35" t="n"/>
      <c r="F1175" s="35" t="n"/>
      <c r="G1175" s="35" t="n"/>
      <c r="H1175" s="35" t="n"/>
      <c r="I1175" s="35" t="n"/>
      <c r="J1175" s="16" t="n"/>
    </row>
    <row r="1176">
      <c r="A1176" s="41" t="b">
        <v>1</v>
      </c>
      <c r="B1176" s="31" t="inlineStr">
        <is>
          <t>Metro Kingdom: Bird Traveling in the Park</t>
        </is>
      </c>
      <c r="C1176" s="35" t="n"/>
      <c r="D1176" s="12" t="inlineStr">
        <is>
          <t>Minimum Jump Height:</t>
        </is>
      </c>
      <c r="E1176" s="34" t="inlineStr">
        <is>
          <t>Single Jump (258)</t>
        </is>
      </c>
      <c r="F1176" s="34" t="n"/>
      <c r="G1176" s="34" t="n"/>
      <c r="H1176" s="34" t="n"/>
      <c r="I1176" s="34" t="n"/>
      <c r="J1176" s="16" t="n"/>
    </row>
    <row r="1177">
      <c r="B1177" s="42" t="n"/>
      <c r="D1177" s="12" t="inlineStr">
        <is>
          <t>Cap Throws that work:</t>
        </is>
      </c>
      <c r="E1177" s="34" t="inlineStr">
        <is>
          <t>Neutral Throw, Up Throw, Down Throw, Spin Throw</t>
        </is>
      </c>
      <c r="F1177" s="34" t="n"/>
      <c r="G1177" s="34" t="n"/>
      <c r="H1177" s="34" t="n"/>
      <c r="I1177" s="34" t="n"/>
      <c r="J1177" s="16" t="n"/>
    </row>
    <row r="1178">
      <c r="A1178" s="43" t="n"/>
      <c r="B1178" s="44" t="n"/>
      <c r="C1178" s="43" t="n"/>
      <c r="D1178" s="19" t="inlineStr">
        <is>
          <t>Other Required:</t>
        </is>
      </c>
      <c r="E1178" s="35" t="n"/>
      <c r="F1178" s="35" t="n"/>
      <c r="G1178" s="35" t="n"/>
      <c r="H1178" s="35" t="n"/>
      <c r="I1178" s="35" t="n"/>
      <c r="J1178" s="16" t="n"/>
    </row>
    <row r="1179">
      <c r="A1179" s="41" t="b">
        <v>1</v>
      </c>
      <c r="B1179" s="31" t="inlineStr">
        <is>
          <t>Metro Kingdom: Metro Kingdom Timer Challenge 3</t>
        </is>
      </c>
      <c r="C1179" s="35" t="n"/>
      <c r="D1179" s="12" t="inlineStr">
        <is>
          <t>Minimum Jump Height:</t>
        </is>
      </c>
      <c r="E1179" s="34" t="inlineStr">
        <is>
          <t>No Jump Needed</t>
        </is>
      </c>
      <c r="F1179" s="34" t="n"/>
      <c r="G1179" s="34" t="n"/>
      <c r="H1179" s="34" t="n"/>
      <c r="I1179" s="34" t="n"/>
      <c r="J1179" s="16" t="n"/>
    </row>
    <row r="1180">
      <c r="B1180" s="42" t="n"/>
      <c r="D1180" s="12" t="inlineStr">
        <is>
          <t>Cap Throws that work:</t>
        </is>
      </c>
      <c r="E1180" s="34" t="inlineStr">
        <is>
          <t>Neutral Throw, Up Throw, Down Throw, Spin Throw</t>
        </is>
      </c>
      <c r="F1180" s="34" t="n"/>
      <c r="G1180" s="34" t="n"/>
      <c r="H1180" s="34" t="n"/>
      <c r="I1180" s="34" t="n"/>
      <c r="J1180" s="16" t="n"/>
    </row>
    <row r="1181">
      <c r="A1181" s="43" t="n"/>
      <c r="B1181" s="44" t="n"/>
      <c r="C1181" s="43" t="n"/>
      <c r="D1181" s="19" t="inlineStr">
        <is>
          <t>Other Required:</t>
        </is>
      </c>
      <c r="E1181" s="35" t="n"/>
      <c r="F1181" s="35" t="n"/>
      <c r="G1181" s="35" t="n"/>
      <c r="H1181" s="35" t="n"/>
      <c r="I1181" s="35" t="n"/>
      <c r="J1181" s="16" t="n"/>
    </row>
    <row r="1182">
      <c r="A1182" s="41" t="b">
        <v>1</v>
      </c>
      <c r="B1182" s="31" t="inlineStr">
        <is>
          <t>Metro Kingdom: Found in the Park! Good Dog!</t>
        </is>
      </c>
      <c r="C1182" s="35" t="n"/>
      <c r="D1182" s="12" t="inlineStr">
        <is>
          <t>Minimum Jump Height:</t>
        </is>
      </c>
      <c r="E1182" s="34" t="inlineStr">
        <is>
          <t>Single Jump (258)</t>
        </is>
      </c>
      <c r="F1182" s="34" t="n"/>
      <c r="G1182" s="34" t="n"/>
      <c r="H1182" s="34" t="n"/>
      <c r="I1182" s="34" t="n"/>
      <c r="J1182" s="16" t="n"/>
    </row>
    <row r="1183">
      <c r="B1183" s="42" t="n"/>
      <c r="D1183" s="12" t="inlineStr">
        <is>
          <t>Cap Throws that work:</t>
        </is>
      </c>
      <c r="E1183" s="34" t="inlineStr">
        <is>
          <t>Neutral Throw, Up Throw, Down Throw, Spin Throw</t>
        </is>
      </c>
      <c r="F1183" s="34" t="n"/>
      <c r="G1183" s="34" t="n"/>
      <c r="H1183" s="34" t="n"/>
      <c r="I1183" s="34" t="n"/>
      <c r="J1183" s="16" t="n"/>
    </row>
    <row r="1184">
      <c r="A1184" s="43" t="n"/>
      <c r="B1184" s="44" t="n"/>
      <c r="C1184" s="43" t="n"/>
      <c r="D1184" s="19" t="inlineStr">
        <is>
          <t>Other Required:</t>
        </is>
      </c>
      <c r="E1184" s="35" t="inlineStr">
        <is>
          <t>Ground Pound</t>
        </is>
      </c>
      <c r="F1184" s="35" t="n"/>
      <c r="G1184" s="35" t="n"/>
      <c r="H1184" s="35" t="n"/>
      <c r="I1184" s="35" t="n"/>
      <c r="J1184" s="16" t="n"/>
    </row>
    <row r="1185">
      <c r="A1185" s="41" t="b">
        <v>1</v>
      </c>
      <c r="B1185" s="31" t="inlineStr">
        <is>
          <t>RC Race: RC Car Champ!</t>
        </is>
      </c>
      <c r="C1185" s="35" t="inlineStr">
        <is>
          <t>RC Car</t>
        </is>
      </c>
      <c r="D1185" s="12" t="inlineStr">
        <is>
          <t>Minimum Jump Height:</t>
        </is>
      </c>
      <c r="E1185" s="34" t="inlineStr">
        <is>
          <t>Long Jump</t>
        </is>
      </c>
      <c r="F1185" s="34" t="n"/>
      <c r="G1185" s="34" t="n"/>
      <c r="H1185" s="34" t="n"/>
      <c r="I1185" s="34" t="n"/>
      <c r="J1185" s="16" t="n"/>
    </row>
    <row r="1186">
      <c r="B1186" s="42" t="n"/>
      <c r="D1186" s="12" t="inlineStr">
        <is>
          <t>Cap Throws that work:</t>
        </is>
      </c>
      <c r="E1186" s="34" t="inlineStr">
        <is>
          <t>Neutral Throw, Up Throw, Down Throw, Spin Throw</t>
        </is>
      </c>
      <c r="F1186" s="34" t="n"/>
      <c r="G1186" s="34" t="n"/>
      <c r="H1186" s="34" t="n"/>
      <c r="I1186" s="34" t="n"/>
      <c r="J1186" s="16" t="n"/>
    </row>
    <row r="1187">
      <c r="A1187" s="43" t="n"/>
      <c r="B1187" s="44" t="n"/>
      <c r="C1187" s="43" t="n"/>
      <c r="D1187" s="19" t="inlineStr">
        <is>
          <t>Other Required:</t>
        </is>
      </c>
      <c r="E1187" s="35" t="inlineStr">
        <is>
          <t>Capture</t>
        </is>
      </c>
      <c r="F1187" s="35" t="n"/>
      <c r="G1187" s="35" t="n"/>
      <c r="H1187" s="35" t="n"/>
      <c r="I1187" s="35" t="n"/>
      <c r="J1187" s="16" t="n"/>
    </row>
    <row r="1188">
      <c r="A1188" s="41" t="b">
        <v>1</v>
      </c>
      <c r="B1188" s="31" t="inlineStr">
        <is>
          <t>Metro Kingdom: Metro Kingdom Master Cup</t>
        </is>
      </c>
      <c r="C1188" s="35" t="n"/>
      <c r="D1188" s="12" t="inlineStr">
        <is>
          <t>Minimum Jump Height:</t>
        </is>
      </c>
      <c r="E1188" s="34" t="inlineStr">
        <is>
          <t>No Jump Needed</t>
        </is>
      </c>
      <c r="F1188" s="34" t="n"/>
      <c r="G1188" s="34" t="n"/>
      <c r="H1188" s="34" t="n"/>
      <c r="I1188" s="34" t="n"/>
      <c r="J1188" s="16" t="n"/>
    </row>
    <row r="1189">
      <c r="B1189" s="42" t="n"/>
      <c r="D1189" s="12" t="inlineStr">
        <is>
          <t>Cap Throws that work:</t>
        </is>
      </c>
      <c r="E1189" s="34" t="inlineStr">
        <is>
          <t>Neutral Throw, Up Throw, Down Throw, Spin Throw</t>
        </is>
      </c>
      <c r="F1189" s="34" t="n"/>
      <c r="G1189" s="34" t="n"/>
      <c r="H1189" s="34" t="n"/>
      <c r="I1189" s="34" t="n"/>
      <c r="J1189" s="16" t="n"/>
    </row>
    <row r="1190">
      <c r="A1190" s="43" t="n"/>
      <c r="B1190" s="44" t="n"/>
      <c r="C1190" s="43" t="n"/>
      <c r="D1190" s="19" t="inlineStr">
        <is>
          <t>Other Required:</t>
        </is>
      </c>
      <c r="E1190" s="35" t="n"/>
      <c r="F1190" s="35" t="n"/>
      <c r="G1190" s="35" t="n"/>
      <c r="H1190" s="35" t="n"/>
      <c r="I1190" s="35" t="n"/>
      <c r="J1190" s="16" t="n"/>
    </row>
    <row r="1191">
      <c r="A1191" s="41" t="b">
        <v>1</v>
      </c>
      <c r="B1191" s="31" t="inlineStr">
        <is>
          <t>Crowded Alleyway: Hat-and-Seek: In the Crowd</t>
        </is>
      </c>
      <c r="C1191" s="35" t="n"/>
      <c r="D1191" s="12" t="inlineStr">
        <is>
          <t>Minimum Jump Height:</t>
        </is>
      </c>
      <c r="E1191" s="34" t="inlineStr">
        <is>
          <t>No Jump Needed</t>
        </is>
      </c>
      <c r="F1191" s="34" t="n"/>
      <c r="G1191" s="34" t="n"/>
      <c r="H1191" s="34" t="n"/>
      <c r="I1191" s="34" t="n"/>
      <c r="J1191" s="16" t="n"/>
    </row>
    <row r="1192">
      <c r="B1192" s="42" t="n"/>
      <c r="D1192" s="12" t="inlineStr">
        <is>
          <t>Cap Throws that work:</t>
        </is>
      </c>
      <c r="E1192" s="34" t="inlineStr">
        <is>
          <t>No Cap Throw Needed</t>
        </is>
      </c>
      <c r="F1192" s="34" t="n"/>
      <c r="G1192" s="34" t="n"/>
      <c r="H1192" s="34" t="n"/>
      <c r="I1192" s="34" t="n"/>
      <c r="J1192" s="16" t="n"/>
    </row>
    <row r="1193">
      <c r="A1193" s="43" t="n"/>
      <c r="B1193" s="44" t="n"/>
      <c r="C1193" s="43" t="n"/>
      <c r="D1193" s="19" t="inlineStr">
        <is>
          <t>Other Required:</t>
        </is>
      </c>
      <c r="E1193" s="35" t="inlineStr">
        <is>
          <t>None</t>
        </is>
      </c>
      <c r="F1193" s="35" t="n"/>
      <c r="G1193" s="35" t="n"/>
      <c r="H1193" s="35" t="n"/>
      <c r="I1193" s="35" t="n"/>
      <c r="J1193" s="16" t="n"/>
    </row>
    <row r="1194">
      <c r="A1194" s="41" t="b">
        <v>1</v>
      </c>
      <c r="B1194" s="31" t="inlineStr">
        <is>
          <t>Pitchblack Mountain: Scaling Pitchblack Mountain</t>
        </is>
      </c>
      <c r="C1194" s="35" t="n"/>
      <c r="D1194" s="12" t="inlineStr">
        <is>
          <t>Minimum Jump Height:</t>
        </is>
      </c>
      <c r="E1194" s="34" t="inlineStr">
        <is>
          <t>Single Jump (258)</t>
        </is>
      </c>
      <c r="F1194" s="34" t="n"/>
      <c r="G1194" s="34" t="n"/>
      <c r="H1194" s="34" t="n"/>
      <c r="I1194" s="34" t="n"/>
      <c r="J1194" s="16" t="n"/>
    </row>
    <row r="1195">
      <c r="B1195" s="42" t="n"/>
      <c r="D1195" s="12" t="inlineStr">
        <is>
          <t>Cap Throws that work:</t>
        </is>
      </c>
      <c r="E1195" s="34" t="inlineStr">
        <is>
          <t>No Cap Throw Needed</t>
        </is>
      </c>
      <c r="F1195" s="34" t="n"/>
      <c r="G1195" s="34" t="n"/>
      <c r="H1195" s="34" t="n"/>
      <c r="I1195" s="34" t="n"/>
      <c r="J1195" s="16" t="n"/>
    </row>
    <row r="1196">
      <c r="A1196" s="43" t="n"/>
      <c r="B1196" s="44" t="n"/>
      <c r="C1196" s="43" t="n"/>
      <c r="D1196" s="19" t="inlineStr">
        <is>
          <t>Other Required:</t>
        </is>
      </c>
      <c r="E1196" s="35" t="inlineStr">
        <is>
          <t>None</t>
        </is>
      </c>
      <c r="F1196" s="35" t="n"/>
      <c r="G1196" s="35" t="n"/>
      <c r="H1196" s="35" t="n"/>
      <c r="I1196" s="35" t="n"/>
      <c r="J1196" s="16" t="n"/>
    </row>
    <row r="1197">
      <c r="A1197" s="41" t="b">
        <v>1</v>
      </c>
      <c r="B1197" s="31" t="inlineStr">
        <is>
          <t>Pitchblack Mountain: Reaching Pitchblack Island</t>
        </is>
      </c>
      <c r="C1197" s="35" t="n"/>
      <c r="D1197" s="12" t="inlineStr">
        <is>
          <t>Minimum Jump Height:</t>
        </is>
      </c>
      <c r="E1197" s="34" t="inlineStr">
        <is>
          <t>No Jump Needed</t>
        </is>
      </c>
      <c r="F1197" s="34" t="n"/>
      <c r="G1197" s="34" t="n"/>
      <c r="H1197" s="34" t="n"/>
      <c r="I1197" s="34" t="n"/>
      <c r="J1197" s="16" t="n"/>
    </row>
    <row r="1198">
      <c r="B1198" s="42" t="n"/>
      <c r="D1198" s="12" t="inlineStr">
        <is>
          <t>Cap Throws that work:</t>
        </is>
      </c>
      <c r="E1198" s="34" t="inlineStr">
        <is>
          <t>Neutral Throw, Up Throw, Down Throw, Spin Throw</t>
        </is>
      </c>
      <c r="F1198" s="34" t="n"/>
      <c r="G1198" s="34" t="n"/>
      <c r="H1198" s="34" t="n"/>
      <c r="I1198" s="34" t="n"/>
      <c r="J1198" s="16" t="n"/>
    </row>
    <row r="1199">
      <c r="A1199" s="43" t="n"/>
      <c r="B1199" s="44" t="n"/>
      <c r="C1199" s="43" t="n"/>
      <c r="D1199" s="19" t="inlineStr">
        <is>
          <t>Other Required:</t>
        </is>
      </c>
      <c r="E1199" s="35" t="inlineStr">
        <is>
          <t>Ground Pound</t>
        </is>
      </c>
      <c r="F1199" s="35" t="n"/>
      <c r="G1199" s="35" t="n"/>
      <c r="H1199" s="35" t="n"/>
      <c r="I1199" s="35" t="n"/>
      <c r="J1199" s="16" t="n"/>
    </row>
    <row r="1200">
      <c r="A1200" s="41" t="b">
        <v>1</v>
      </c>
      <c r="B1200" s="31" t="inlineStr">
        <is>
          <t>Swinging Scaffolding: Swinging Scaffolding: Jump!</t>
        </is>
      </c>
      <c r="C1200" s="35" t="n"/>
      <c r="D1200" s="12" t="inlineStr">
        <is>
          <t>Minimum Jump Height:</t>
        </is>
      </c>
      <c r="E1200" s="34" t="inlineStr">
        <is>
          <t>Single Jump (258)</t>
        </is>
      </c>
      <c r="F1200" s="34" t="n"/>
      <c r="G1200" s="34" t="n"/>
      <c r="H1200" s="34" t="n"/>
      <c r="I1200" s="34" t="n"/>
      <c r="J1200" s="16" t="n"/>
    </row>
    <row r="1201">
      <c r="B1201" s="42" t="n"/>
      <c r="D1201" s="12" t="inlineStr">
        <is>
          <t>Cap Throws that work:</t>
        </is>
      </c>
      <c r="E1201" s="34" t="inlineStr">
        <is>
          <t>Neutral Throw, Up Throw, Down Throw, Spin Throw</t>
        </is>
      </c>
      <c r="F1201" s="34" t="n"/>
      <c r="G1201" s="34" t="n"/>
      <c r="H1201" s="34" t="n"/>
      <c r="I1201" s="34" t="n"/>
      <c r="J1201" s="16" t="n"/>
    </row>
    <row r="1202">
      <c r="A1202" s="43" t="n"/>
      <c r="B1202" s="44" t="n"/>
      <c r="C1202" s="43" t="n"/>
      <c r="D1202" s="19" t="inlineStr">
        <is>
          <t>Other Required:</t>
        </is>
      </c>
      <c r="E1202" s="35" t="inlineStr">
        <is>
          <t>None</t>
        </is>
      </c>
      <c r="F1202" s="35" t="n"/>
      <c r="G1202" s="35" t="n"/>
      <c r="H1202" s="35" t="n"/>
      <c r="I1202" s="35" t="n"/>
      <c r="J1202" s="16" t="n"/>
    </row>
    <row r="1203">
      <c r="A1203" s="41" t="b">
        <v>1</v>
      </c>
      <c r="B1203" s="31" t="inlineStr">
        <is>
          <t>Swinging Scaffolding: Swinging Scaffolding: Break!</t>
        </is>
      </c>
      <c r="C1203" s="35" t="inlineStr">
        <is>
          <t>Hammer Bro</t>
        </is>
      </c>
      <c r="D1203" s="12" t="inlineStr">
        <is>
          <t>Minimum Jump Height:</t>
        </is>
      </c>
      <c r="E1203" s="34" t="inlineStr">
        <is>
          <t>Long Jump</t>
        </is>
      </c>
      <c r="F1203" s="34" t="n"/>
      <c r="G1203" s="34" t="n"/>
      <c r="H1203" s="34" t="n"/>
      <c r="I1203" s="34" t="n"/>
      <c r="J1203" s="16" t="n"/>
    </row>
    <row r="1204">
      <c r="B1204" s="42" t="n"/>
      <c r="D1204" s="12" t="inlineStr">
        <is>
          <t>Cap Throws that work:</t>
        </is>
      </c>
      <c r="E1204" s="34" t="inlineStr">
        <is>
          <t>Neutral Throw, Up Throw, Down Throw, Spin Throw</t>
        </is>
      </c>
      <c r="F1204" s="34" t="n"/>
      <c r="G1204" s="34" t="n"/>
      <c r="H1204" s="34" t="n"/>
      <c r="I1204" s="34" t="n"/>
      <c r="J1204" s="16" t="n"/>
    </row>
    <row r="1205">
      <c r="A1205" s="43" t="n"/>
      <c r="B1205" s="44" t="n"/>
      <c r="C1205" s="43" t="n"/>
      <c r="D1205" s="19" t="inlineStr">
        <is>
          <t>Other Required:</t>
        </is>
      </c>
      <c r="E1205" s="35" t="inlineStr">
        <is>
          <t>Capture</t>
        </is>
      </c>
      <c r="F1205" s="35" t="n"/>
      <c r="G1205" s="35" t="n"/>
      <c r="H1205" s="35" t="n"/>
      <c r="I1205" s="35" t="n"/>
      <c r="J1205" s="16" t="n"/>
    </row>
    <row r="1206">
      <c r="A1206" s="41" t="b">
        <v>1</v>
      </c>
      <c r="B1206" s="31" t="inlineStr">
        <is>
          <t>Scooter Daredevil: Motor Scooter Daredevil!</t>
        </is>
      </c>
      <c r="C1206" s="35" t="n"/>
      <c r="D1206" s="12" t="inlineStr">
        <is>
          <t>Minimum Jump Height:</t>
        </is>
      </c>
      <c r="E1206" s="34" t="inlineStr">
        <is>
          <t>No Jump Needed</t>
        </is>
      </c>
      <c r="F1206" s="34" t="n"/>
      <c r="G1206" s="34" t="n"/>
      <c r="H1206" s="34" t="n"/>
      <c r="I1206" s="34" t="n"/>
      <c r="J1206" s="16" t="n"/>
    </row>
    <row r="1207">
      <c r="B1207" s="42" t="n"/>
      <c r="D1207" s="12" t="inlineStr">
        <is>
          <t>Cap Throws that work:</t>
        </is>
      </c>
      <c r="E1207" s="34" t="inlineStr">
        <is>
          <t>No Cap Throw Needed</t>
        </is>
      </c>
      <c r="F1207" s="34" t="n"/>
      <c r="G1207" s="34" t="n"/>
      <c r="H1207" s="34" t="n"/>
      <c r="I1207" s="34" t="n"/>
      <c r="J1207" s="16" t="n"/>
    </row>
    <row r="1208">
      <c r="A1208" s="43" t="n"/>
      <c r="B1208" s="44" t="n"/>
      <c r="C1208" s="43" t="n"/>
      <c r="D1208" s="19" t="inlineStr">
        <is>
          <t>Other Required:</t>
        </is>
      </c>
      <c r="E1208" s="35" t="n"/>
      <c r="F1208" s="35" t="n"/>
      <c r="G1208" s="35" t="n"/>
      <c r="H1208" s="35" t="n"/>
      <c r="I1208" s="35" t="n"/>
      <c r="J1208" s="16" t="n"/>
    </row>
    <row r="1209">
      <c r="A1209" s="41" t="b">
        <v>1</v>
      </c>
      <c r="B1209" s="31" t="inlineStr">
        <is>
          <t>Scooter Daredevil: Full-Throttle Scooting!</t>
        </is>
      </c>
      <c r="C1209" s="35" t="n"/>
      <c r="D1209" s="12" t="inlineStr">
        <is>
          <t>Minimum Jump Height:</t>
        </is>
      </c>
      <c r="E1209" s="34" t="inlineStr">
        <is>
          <t>No Jump Needed</t>
        </is>
      </c>
      <c r="F1209" s="34" t="n"/>
      <c r="G1209" s="34" t="n"/>
      <c r="H1209" s="34" t="n"/>
      <c r="I1209" s="34" t="n"/>
      <c r="J1209" s="16" t="n"/>
    </row>
    <row r="1210">
      <c r="B1210" s="42" t="n"/>
      <c r="D1210" s="12" t="inlineStr">
        <is>
          <t>Cap Throws that work:</t>
        </is>
      </c>
      <c r="E1210" s="34" t="inlineStr">
        <is>
          <t>No Cap Throw Needed</t>
        </is>
      </c>
      <c r="F1210" s="34" t="n"/>
      <c r="G1210" s="34" t="n"/>
      <c r="H1210" s="34" t="n"/>
      <c r="I1210" s="34" t="n"/>
      <c r="J1210" s="16" t="n"/>
    </row>
    <row r="1211">
      <c r="A1211" s="43" t="n"/>
      <c r="B1211" s="44" t="n"/>
      <c r="C1211" s="43" t="n"/>
      <c r="D1211" s="19" t="inlineStr">
        <is>
          <t>Other Required:</t>
        </is>
      </c>
      <c r="E1211" s="35" t="n"/>
      <c r="F1211" s="35" t="n"/>
      <c r="G1211" s="35" t="n"/>
      <c r="H1211" s="35" t="n"/>
      <c r="I1211" s="35" t="n"/>
      <c r="J1211" s="16" t="n"/>
    </row>
    <row r="1212">
      <c r="A1212" s="41" t="b">
        <v>1</v>
      </c>
      <c r="B1212" s="31" t="inlineStr">
        <is>
          <t>Seaside Kingdom: The Stone Pillar Seal</t>
        </is>
      </c>
      <c r="C1212" s="35" t="inlineStr">
        <is>
          <t>Gushen</t>
        </is>
      </c>
      <c r="D1212" s="12" t="inlineStr">
        <is>
          <t>Minimum Jump Height:</t>
        </is>
      </c>
      <c r="E1212" s="34" t="inlineStr">
        <is>
          <t>No Jump Needed</t>
        </is>
      </c>
      <c r="F1212" s="34" t="inlineStr">
        <is>
          <t>Triple Jump (550)</t>
        </is>
      </c>
      <c r="G1212" s="34" t="n"/>
      <c r="H1212" s="34" t="n"/>
      <c r="I1212" s="34" t="n"/>
      <c r="J1212" s="16" t="n"/>
    </row>
    <row r="1213">
      <c r="B1213" s="42" t="n"/>
      <c r="D1213" s="12" t="inlineStr">
        <is>
          <t>Cap Throws that work:</t>
        </is>
      </c>
      <c r="E1213" s="34" t="inlineStr">
        <is>
          <t>Neutral Throw, Up Throw, Down Throw, Spin Throw</t>
        </is>
      </c>
      <c r="F1213" s="34" t="inlineStr">
        <is>
          <t>Neutral Throw</t>
        </is>
      </c>
      <c r="G1213" s="34" t="n"/>
      <c r="H1213" s="34" t="n"/>
      <c r="I1213" s="34" t="n"/>
      <c r="J1213" s="16" t="n"/>
    </row>
    <row r="1214">
      <c r="A1214" s="43" t="n"/>
      <c r="B1214" s="44" t="n"/>
      <c r="C1214" s="43" t="n"/>
      <c r="D1214" s="19" t="inlineStr">
        <is>
          <t>Other Required:</t>
        </is>
      </c>
      <c r="E1214" s="35" t="inlineStr">
        <is>
          <t>Capture</t>
        </is>
      </c>
      <c r="F1214" s="35" t="inlineStr">
        <is>
          <t>Dive, Wall Slide</t>
        </is>
      </c>
      <c r="G1214" s="35" t="n"/>
      <c r="H1214" s="35" t="n"/>
      <c r="I1214" s="35" t="n"/>
      <c r="J1214" s="16" t="n"/>
    </row>
    <row r="1215">
      <c r="A1215" s="41" t="b">
        <v>1</v>
      </c>
      <c r="B1215" s="31" t="inlineStr">
        <is>
          <t>Seaside Kingdom: The Lighthouse Seal</t>
        </is>
      </c>
      <c r="C1215" s="35" t="n"/>
      <c r="D1215" s="12" t="inlineStr">
        <is>
          <t>Minimum Jump Height:</t>
        </is>
      </c>
      <c r="E1215" s="34" t="inlineStr">
        <is>
          <t>Long Jump</t>
        </is>
      </c>
      <c r="F1215" s="34" t="n"/>
      <c r="G1215" s="34" t="n"/>
      <c r="H1215" s="34" t="n"/>
      <c r="I1215" s="34" t="n"/>
      <c r="J1215" s="16" t="n"/>
    </row>
    <row r="1216">
      <c r="B1216" s="42" t="n"/>
      <c r="D1216" s="12" t="inlineStr">
        <is>
          <t>Cap Throws that work:</t>
        </is>
      </c>
      <c r="E1216" s="34" t="inlineStr">
        <is>
          <t>No Cap Throw Needed</t>
        </is>
      </c>
      <c r="F1216" s="34" t="n"/>
      <c r="G1216" s="34" t="n"/>
      <c r="H1216" s="34" t="n"/>
      <c r="I1216" s="34" t="n"/>
      <c r="J1216" s="16" t="n"/>
    </row>
    <row r="1217">
      <c r="A1217" s="43" t="n"/>
      <c r="B1217" s="44" t="n"/>
      <c r="C1217" s="43" t="n"/>
      <c r="D1217" s="19" t="inlineStr">
        <is>
          <t>Other Required:</t>
        </is>
      </c>
      <c r="E1217" s="35" t="inlineStr">
        <is>
          <t>None</t>
        </is>
      </c>
      <c r="F1217" s="35" t="n"/>
      <c r="G1217" s="35" t="n"/>
      <c r="H1217" s="35" t="n"/>
      <c r="I1217" s="35" t="n"/>
      <c r="J1217" s="16" t="n"/>
    </row>
    <row r="1218">
      <c r="A1218" s="41" t="b">
        <v>1</v>
      </c>
      <c r="B1218" s="31" t="inlineStr">
        <is>
          <t>Seaside Kingdom: The Hot Spring Seal</t>
        </is>
      </c>
      <c r="C1218" s="35" t="inlineStr">
        <is>
          <t>Gushen</t>
        </is>
      </c>
      <c r="D1218" s="12" t="inlineStr">
        <is>
          <t>Minimum Jump Height:</t>
        </is>
      </c>
      <c r="E1218" s="34" t="inlineStr">
        <is>
          <t>No Jump Needed</t>
        </is>
      </c>
      <c r="F1218" s="34" t="n"/>
      <c r="G1218" s="34" t="n"/>
      <c r="H1218" s="34" t="n"/>
      <c r="I1218" s="34" t="n"/>
      <c r="J1218" s="16" t="n"/>
    </row>
    <row r="1219">
      <c r="B1219" s="42" t="n"/>
      <c r="D1219" s="12" t="inlineStr">
        <is>
          <t>Cap Throws that work:</t>
        </is>
      </c>
      <c r="E1219" s="34" t="inlineStr">
        <is>
          <t>Neutral Throw, Up Throw, Down Throw, Spin Throw</t>
        </is>
      </c>
      <c r="F1219" s="34" t="n"/>
      <c r="G1219" s="34" t="n"/>
      <c r="H1219" s="34" t="n"/>
      <c r="I1219" s="34" t="n"/>
      <c r="J1219" s="16" t="n"/>
    </row>
    <row r="1220">
      <c r="A1220" s="43" t="n"/>
      <c r="B1220" s="44" t="n"/>
      <c r="C1220" s="43" t="n"/>
      <c r="D1220" s="19" t="inlineStr">
        <is>
          <t>Other Required:</t>
        </is>
      </c>
      <c r="E1220" s="35" t="inlineStr">
        <is>
          <t>Capture</t>
        </is>
      </c>
      <c r="F1220" s="35" t="n"/>
      <c r="G1220" s="35" t="n"/>
      <c r="H1220" s="35" t="n"/>
      <c r="I1220" s="35" t="n"/>
      <c r="J1220" s="16" t="n"/>
    </row>
    <row r="1221">
      <c r="A1221" s="41" t="b">
        <v>1</v>
      </c>
      <c r="B1221" s="31" t="inlineStr">
        <is>
          <t>Seaside Kingdom: The Seal Above the Canyon</t>
        </is>
      </c>
      <c r="C1221" s="35" t="n"/>
      <c r="D1221" s="12" t="inlineStr">
        <is>
          <t>Minimum Jump Height:</t>
        </is>
      </c>
      <c r="E1221" s="34" t="inlineStr">
        <is>
          <t>Long Jump</t>
        </is>
      </c>
      <c r="F1221" s="34" t="n"/>
      <c r="G1221" s="34" t="n"/>
      <c r="H1221" s="34" t="n"/>
      <c r="I1221" s="34" t="n"/>
      <c r="J1221" s="16" t="n"/>
    </row>
    <row r="1222">
      <c r="B1222" s="42" t="n"/>
      <c r="D1222" s="12" t="inlineStr">
        <is>
          <t>Cap Throws that work:</t>
        </is>
      </c>
      <c r="E1222" s="34" t="inlineStr">
        <is>
          <t>Neutral Throw, Up Throw, Down Throw, Spin Throw</t>
        </is>
      </c>
      <c r="F1222" s="34" t="n"/>
      <c r="G1222" s="34" t="n"/>
      <c r="H1222" s="34" t="n"/>
      <c r="I1222" s="34" t="n"/>
      <c r="J1222" s="16" t="n"/>
    </row>
    <row r="1223">
      <c r="A1223" s="43" t="n"/>
      <c r="B1223" s="44" t="n"/>
      <c r="C1223" s="43" t="n"/>
      <c r="D1223" s="19" t="inlineStr">
        <is>
          <t>Other Required:</t>
        </is>
      </c>
      <c r="E1223" s="35" t="inlineStr">
        <is>
          <t>None</t>
        </is>
      </c>
      <c r="F1223" s="35" t="n"/>
      <c r="G1223" s="35" t="n"/>
      <c r="H1223" s="35" t="n"/>
      <c r="I1223" s="35" t="n"/>
      <c r="J1223" s="16" t="n"/>
    </row>
    <row r="1224">
      <c r="A1224" s="41" t="b">
        <v>1</v>
      </c>
      <c r="B1224" s="31" t="inlineStr">
        <is>
          <t>Seaside Kingdom: The Glass Is Half Full!</t>
        </is>
      </c>
      <c r="C1224" s="35" t="inlineStr">
        <is>
          <t>Gushen</t>
        </is>
      </c>
      <c r="D1224" s="12" t="inlineStr">
        <is>
          <t>Minimum Jump Height:</t>
        </is>
      </c>
      <c r="E1224" s="34" t="inlineStr">
        <is>
          <t>No Jump Needed</t>
        </is>
      </c>
      <c r="F1224" s="34" t="n"/>
      <c r="G1224" s="34" t="n"/>
      <c r="H1224" s="34" t="n"/>
      <c r="I1224" s="34" t="n"/>
      <c r="J1224" s="16" t="n"/>
    </row>
    <row r="1225">
      <c r="B1225" s="42" t="n"/>
      <c r="D1225" s="12" t="inlineStr">
        <is>
          <t>Cap Throws that work:</t>
        </is>
      </c>
      <c r="E1225" s="34" t="inlineStr">
        <is>
          <t>Neutral Throw, Up Throw, Down Throw, Spin Throw</t>
        </is>
      </c>
      <c r="F1225" s="34" t="n"/>
      <c r="G1225" s="34" t="n"/>
      <c r="H1225" s="34" t="n"/>
      <c r="I1225" s="34" t="n"/>
      <c r="J1225" s="16" t="n"/>
    </row>
    <row r="1226">
      <c r="A1226" s="43" t="n"/>
      <c r="B1226" s="44" t="n"/>
      <c r="C1226" s="43" t="n"/>
      <c r="D1226" s="19" t="inlineStr">
        <is>
          <t>Other Required:</t>
        </is>
      </c>
      <c r="E1226" s="35" t="inlineStr">
        <is>
          <t>Ground Pound, Capture</t>
        </is>
      </c>
      <c r="F1226" s="35" t="n"/>
      <c r="G1226" s="35" t="n"/>
      <c r="H1226" s="35" t="n"/>
      <c r="I1226" s="35" t="n"/>
      <c r="J1226" s="16" t="n"/>
    </row>
    <row r="1227">
      <c r="A1227" s="41" t="b">
        <v>1</v>
      </c>
      <c r="B1227" s="31" t="inlineStr">
        <is>
          <t>Seaside Kingdom: On the Cliff Overlooking the Beach</t>
        </is>
      </c>
      <c r="C1227" s="35" t="inlineStr">
        <is>
          <t>Gushen</t>
        </is>
      </c>
      <c r="D1227" s="12" t="inlineStr">
        <is>
          <t>Minimum Jump Height:</t>
        </is>
      </c>
      <c r="E1227" s="34" t="inlineStr">
        <is>
          <t>No Jump Needed</t>
        </is>
      </c>
      <c r="F1227" s="34" t="inlineStr">
        <is>
          <t>Cap Return Jump (400)</t>
        </is>
      </c>
      <c r="G1227" s="34" t="n"/>
      <c r="H1227" s="34" t="n"/>
      <c r="I1227" s="34" t="n"/>
      <c r="J1227" s="16" t="n"/>
    </row>
    <row r="1228">
      <c r="B1228" s="42" t="n"/>
      <c r="D1228" s="12" t="inlineStr">
        <is>
          <t>Cap Throws that work:</t>
        </is>
      </c>
      <c r="E1228" s="34" t="inlineStr">
        <is>
          <t>Neutral Throw, Up Throw, Down Throw, Spin Throw</t>
        </is>
      </c>
      <c r="F1228" s="34" t="inlineStr">
        <is>
          <t>Neutral Throw</t>
        </is>
      </c>
      <c r="G1228" s="34" t="n"/>
      <c r="H1228" s="34" t="n"/>
      <c r="I1228" s="34" t="n"/>
      <c r="J1228" s="16" t="n"/>
    </row>
    <row r="1229">
      <c r="A1229" s="43" t="n"/>
      <c r="B1229" s="44" t="n"/>
      <c r="C1229" s="43" t="n"/>
      <c r="D1229" s="19" t="inlineStr">
        <is>
          <t>Other Required:</t>
        </is>
      </c>
      <c r="E1229" s="35" t="inlineStr">
        <is>
          <t>Capture</t>
        </is>
      </c>
      <c r="F1229" s="35" t="inlineStr">
        <is>
          <t>Dive, Wall Slide</t>
        </is>
      </c>
      <c r="G1229" s="35" t="n"/>
      <c r="H1229" s="35" t="n"/>
      <c r="I1229" s="35" t="n"/>
      <c r="J1229" s="16" t="n"/>
    </row>
    <row r="1230">
      <c r="A1230" s="41" t="b">
        <v>1</v>
      </c>
      <c r="B1230" s="31" t="inlineStr">
        <is>
          <t>Seaside Kingdom: Ride the Jetstream</t>
        </is>
      </c>
      <c r="C1230" s="35" t="inlineStr">
        <is>
          <t>Gushen</t>
        </is>
      </c>
      <c r="D1230" s="12" t="inlineStr">
        <is>
          <t>Minimum Jump Height:</t>
        </is>
      </c>
      <c r="E1230" s="34" t="inlineStr">
        <is>
          <t>No Jump Needed</t>
        </is>
      </c>
      <c r="F1230" s="34" t="inlineStr">
        <is>
          <t>Single Jump (258)</t>
        </is>
      </c>
      <c r="G1230" s="34" t="inlineStr">
        <is>
          <t>Double Jump (312)</t>
        </is>
      </c>
      <c r="H1230" s="34" t="n"/>
      <c r="I1230" s="34" t="n"/>
      <c r="J1230" s="16" t="n"/>
    </row>
    <row r="1231">
      <c r="B1231" s="42" t="n"/>
      <c r="D1231" s="12" t="inlineStr">
        <is>
          <t>Cap Throws that work:</t>
        </is>
      </c>
      <c r="E1231" s="34" t="inlineStr">
        <is>
          <t>Neutral Throw, Up Throw, Down Throw, Spin Throw</t>
        </is>
      </c>
      <c r="F1231" s="34" t="inlineStr">
        <is>
          <t>Neutral Throw</t>
        </is>
      </c>
      <c r="G1231" s="34" t="inlineStr">
        <is>
          <t>Neutral Throw, Up Throw</t>
        </is>
      </c>
      <c r="H1231" s="34" t="n"/>
      <c r="I1231" s="34" t="n"/>
      <c r="J1231" s="16" t="n"/>
    </row>
    <row r="1232">
      <c r="A1232" s="43" t="n"/>
      <c r="B1232" s="44" t="n"/>
      <c r="C1232" s="43" t="n"/>
      <c r="D1232" s="19" t="inlineStr">
        <is>
          <t>Other Required:</t>
        </is>
      </c>
      <c r="E1232" s="35" t="inlineStr">
        <is>
          <t>Capture</t>
        </is>
      </c>
      <c r="F1232" s="35" t="inlineStr">
        <is>
          <t>Wall Slide</t>
        </is>
      </c>
      <c r="G1232" s="35" t="inlineStr">
        <is>
          <t>Wall Slide</t>
        </is>
      </c>
      <c r="H1232" s="35" t="n"/>
      <c r="I1232" s="35" t="n"/>
      <c r="J1232" s="16" t="n"/>
    </row>
    <row r="1233">
      <c r="A1233" s="41" t="b">
        <v>1</v>
      </c>
      <c r="B1233" s="31" t="inlineStr">
        <is>
          <t>Seaside Kingdom: Ocean-Bottom Maze: Treasure</t>
        </is>
      </c>
      <c r="C1233" s="35" t="n"/>
      <c r="D1233" s="12" t="inlineStr">
        <is>
          <t>Minimum Jump Height:</t>
        </is>
      </c>
      <c r="E1233" s="34" t="inlineStr">
        <is>
          <t>Long Jump</t>
        </is>
      </c>
      <c r="F1233" s="34" t="n"/>
      <c r="G1233" s="34" t="n"/>
      <c r="H1233" s="34" t="n"/>
      <c r="I1233" s="34" t="n"/>
      <c r="J1233" s="16" t="n"/>
    </row>
    <row r="1234">
      <c r="B1234" s="42" t="n"/>
      <c r="D1234" s="12" t="inlineStr">
        <is>
          <t>Cap Throws that work:</t>
        </is>
      </c>
      <c r="E1234" s="34" t="inlineStr">
        <is>
          <t>No Cap Throw Needed</t>
        </is>
      </c>
      <c r="F1234" s="34" t="n"/>
      <c r="G1234" s="34" t="n"/>
      <c r="H1234" s="34" t="n"/>
      <c r="I1234" s="34" t="n"/>
      <c r="J1234" s="16" t="n"/>
    </row>
    <row r="1235">
      <c r="A1235" s="43" t="n"/>
      <c r="B1235" s="44" t="n"/>
      <c r="C1235" s="43" t="n"/>
      <c r="D1235" s="19" t="inlineStr">
        <is>
          <t>Other Required:</t>
        </is>
      </c>
      <c r="E1235" s="35" t="n"/>
      <c r="F1235" s="35" t="n"/>
      <c r="G1235" s="35" t="n"/>
      <c r="H1235" s="35" t="n"/>
      <c r="I1235" s="35" t="n"/>
      <c r="J1235" s="16" t="n"/>
    </row>
    <row r="1236">
      <c r="A1236" s="41" t="b">
        <v>1</v>
      </c>
      <c r="B1236" s="31" t="inlineStr">
        <is>
          <t>Seaside Kingdom: Ocean-Bottom Maze: Hidden Room</t>
        </is>
      </c>
      <c r="C1236" s="35" t="n"/>
      <c r="D1236" s="12" t="inlineStr">
        <is>
          <t>Minimum Jump Height:</t>
        </is>
      </c>
      <c r="E1236" s="34" t="inlineStr">
        <is>
          <t>Long Jump</t>
        </is>
      </c>
      <c r="F1236" s="34" t="n"/>
      <c r="G1236" s="34" t="n"/>
      <c r="H1236" s="34" t="n"/>
      <c r="I1236" s="34" t="n"/>
      <c r="J1236" s="16" t="n"/>
    </row>
    <row r="1237">
      <c r="B1237" s="42" t="n"/>
      <c r="D1237" s="12" t="inlineStr">
        <is>
          <t>Cap Throws that work:</t>
        </is>
      </c>
      <c r="E1237" s="34" t="inlineStr">
        <is>
          <t>No Cap Throw Needed</t>
        </is>
      </c>
      <c r="F1237" s="34" t="n"/>
      <c r="G1237" s="34" t="n"/>
      <c r="H1237" s="34" t="n"/>
      <c r="I1237" s="34" t="n"/>
      <c r="J1237" s="16" t="n"/>
    </row>
    <row r="1238">
      <c r="A1238" s="43" t="n"/>
      <c r="B1238" s="44" t="n"/>
      <c r="C1238" s="43" t="n"/>
      <c r="D1238" s="19" t="inlineStr">
        <is>
          <t>Other Required:</t>
        </is>
      </c>
      <c r="E1238" s="35" t="inlineStr">
        <is>
          <t>, Crouch</t>
        </is>
      </c>
      <c r="F1238" s="35" t="n"/>
      <c r="G1238" s="35" t="n"/>
      <c r="H1238" s="35" t="n"/>
      <c r="I1238" s="35" t="n"/>
      <c r="J1238" s="16" t="n"/>
    </row>
    <row r="1239">
      <c r="A1239" s="41" t="b">
        <v>1</v>
      </c>
      <c r="B1239" s="31" t="inlineStr">
        <is>
          <t>Seaside Kingdom: Underwater Highway Tunnel</t>
        </is>
      </c>
      <c r="C1239" s="35" t="n"/>
      <c r="D1239" s="12" t="inlineStr">
        <is>
          <t>Minimum Jump Height:</t>
        </is>
      </c>
      <c r="E1239" s="34" t="inlineStr">
        <is>
          <t>No Jump Needed</t>
        </is>
      </c>
      <c r="F1239" s="34" t="inlineStr">
        <is>
          <t>No Jump Needed</t>
        </is>
      </c>
      <c r="G1239" s="34" t="n"/>
      <c r="H1239" s="34" t="n"/>
      <c r="I1239" s="34" t="n"/>
      <c r="J1239" s="16" t="n"/>
    </row>
    <row r="1240">
      <c r="B1240" s="42" t="n"/>
      <c r="D1240" s="12" t="inlineStr">
        <is>
          <t>Cap Throws that work:</t>
        </is>
      </c>
      <c r="E1240" s="34" t="inlineStr">
        <is>
          <t>No Cap Throw Needed</t>
        </is>
      </c>
      <c r="F1240" s="34" t="inlineStr">
        <is>
          <t>Neutral Throw, Up Throw, Down Throw, Spin Throw</t>
        </is>
      </c>
      <c r="G1240" s="34" t="n"/>
      <c r="H1240" s="34" t="n"/>
      <c r="I1240" s="34" t="n"/>
      <c r="J1240" s="16" t="n"/>
    </row>
    <row r="1241">
      <c r="A1241" s="43" t="n"/>
      <c r="B1241" s="44" t="n"/>
      <c r="C1241" s="43" t="n"/>
      <c r="D1241" s="19" t="inlineStr">
        <is>
          <t>Other Required:</t>
        </is>
      </c>
      <c r="E1241" s="35" t="inlineStr">
        <is>
          <t>Ground Pound, None</t>
        </is>
      </c>
      <c r="F1241" s="35" t="inlineStr">
        <is>
          <t>None</t>
        </is>
      </c>
      <c r="G1241" s="35" t="n"/>
      <c r="H1241" s="35" t="n"/>
      <c r="I1241" s="35" t="n"/>
      <c r="J1241" s="16" t="n"/>
    </row>
    <row r="1242">
      <c r="A1242" s="41" t="b">
        <v>1</v>
      </c>
      <c r="B1242" s="31" t="inlineStr">
        <is>
          <t>Seaside Kingdom: Shh! It's a Shortcut!</t>
        </is>
      </c>
      <c r="C1242" s="35" t="n"/>
      <c r="D1242" s="12" t="inlineStr">
        <is>
          <t>Minimum Jump Height:</t>
        </is>
      </c>
      <c r="E1242" s="34" t="inlineStr">
        <is>
          <t>No Jump Needed</t>
        </is>
      </c>
      <c r="F1242" s="34" t="n"/>
      <c r="G1242" s="34" t="n"/>
      <c r="H1242" s="34" t="n"/>
      <c r="I1242" s="34" t="n"/>
      <c r="J1242" s="16" t="n"/>
    </row>
    <row r="1243">
      <c r="B1243" s="42" t="n"/>
      <c r="D1243" s="12" t="inlineStr">
        <is>
          <t>Cap Throws that work:</t>
        </is>
      </c>
      <c r="E1243" s="34" t="inlineStr">
        <is>
          <t>No Cap Throw Needed</t>
        </is>
      </c>
      <c r="F1243" s="34" t="n"/>
      <c r="G1243" s="34" t="n"/>
      <c r="H1243" s="34" t="n"/>
      <c r="I1243" s="34" t="n"/>
      <c r="J1243" s="16" t="n"/>
    </row>
    <row r="1244">
      <c r="A1244" s="43" t="n"/>
      <c r="B1244" s="44" t="n"/>
      <c r="C1244" s="43" t="n"/>
      <c r="D1244" s="19" t="inlineStr">
        <is>
          <t>Other Required:</t>
        </is>
      </c>
      <c r="E1244" s="35" t="inlineStr">
        <is>
          <t>None</t>
        </is>
      </c>
      <c r="F1244" s="35" t="n"/>
      <c r="G1244" s="35" t="n"/>
      <c r="H1244" s="35" t="n"/>
      <c r="I1244" s="35" t="n"/>
      <c r="J1244" s="16" t="n"/>
    </row>
    <row r="1245">
      <c r="A1245" s="41" t="b">
        <v>1</v>
      </c>
      <c r="B1245" s="31" t="inlineStr">
        <is>
          <t>Seaside Kingdom: Gap in the Ocean Trench</t>
        </is>
      </c>
      <c r="C1245" s="35" t="n"/>
      <c r="D1245" s="12" t="inlineStr">
        <is>
          <t>Minimum Jump Height:</t>
        </is>
      </c>
      <c r="E1245" s="34" t="inlineStr">
        <is>
          <t>No Jump Needed</t>
        </is>
      </c>
      <c r="F1245" s="34" t="n"/>
      <c r="G1245" s="34" t="n"/>
      <c r="H1245" s="34" t="n"/>
      <c r="I1245" s="34" t="n"/>
      <c r="J1245" s="16" t="n"/>
    </row>
    <row r="1246">
      <c r="B1246" s="42" t="n"/>
      <c r="D1246" s="12" t="inlineStr">
        <is>
          <t>Cap Throws that work:</t>
        </is>
      </c>
      <c r="E1246" s="34" t="inlineStr">
        <is>
          <t>No Cap Throw Needed</t>
        </is>
      </c>
      <c r="F1246" s="34" t="n"/>
      <c r="G1246" s="34" t="n"/>
      <c r="H1246" s="34" t="n"/>
      <c r="I1246" s="34" t="n"/>
      <c r="J1246" s="16" t="n"/>
    </row>
    <row r="1247">
      <c r="A1247" s="43" t="n"/>
      <c r="B1247" s="44" t="n"/>
      <c r="C1247" s="43" t="n"/>
      <c r="D1247" s="19" t="inlineStr">
        <is>
          <t>Other Required:</t>
        </is>
      </c>
      <c r="E1247" s="35" t="inlineStr">
        <is>
          <t>None</t>
        </is>
      </c>
      <c r="F1247" s="35" t="n"/>
      <c r="G1247" s="35" t="n"/>
      <c r="H1247" s="35" t="n"/>
      <c r="I1247" s="35" t="n"/>
      <c r="J1247" s="16" t="n"/>
    </row>
    <row r="1248">
      <c r="A1248" s="41" t="b">
        <v>1</v>
      </c>
      <c r="B1248" s="31" t="inlineStr">
        <is>
          <t>Seaside Kingdom: Slip Through the Nesting Spot</t>
        </is>
      </c>
      <c r="C1248" s="35" t="n"/>
      <c r="D1248" s="12" t="inlineStr">
        <is>
          <t>Minimum Jump Height:</t>
        </is>
      </c>
      <c r="E1248" s="34" t="inlineStr">
        <is>
          <t>No Jump Needed</t>
        </is>
      </c>
      <c r="F1248" s="34" t="n"/>
      <c r="G1248" s="34" t="n"/>
      <c r="H1248" s="34" t="n"/>
      <c r="I1248" s="34" t="n"/>
      <c r="J1248" s="16" t="n"/>
    </row>
    <row r="1249">
      <c r="B1249" s="42" t="n"/>
      <c r="D1249" s="12" t="inlineStr">
        <is>
          <t>Cap Throws that work:</t>
        </is>
      </c>
      <c r="E1249" s="34" t="inlineStr">
        <is>
          <t>No Cap Throw Needed</t>
        </is>
      </c>
      <c r="F1249" s="34" t="n"/>
      <c r="G1249" s="34" t="n"/>
      <c r="H1249" s="34" t="n"/>
      <c r="I1249" s="34" t="n"/>
      <c r="J1249" s="16" t="n"/>
    </row>
    <row r="1250">
      <c r="A1250" s="43" t="n"/>
      <c r="B1250" s="44" t="n"/>
      <c r="C1250" s="43" t="n"/>
      <c r="D1250" s="19" t="inlineStr">
        <is>
          <t>Other Required:</t>
        </is>
      </c>
      <c r="E1250" s="35" t="inlineStr">
        <is>
          <t>None</t>
        </is>
      </c>
      <c r="F1250" s="35" t="n"/>
      <c r="G1250" s="35" t="n"/>
      <c r="H1250" s="35" t="n"/>
      <c r="I1250" s="35" t="n"/>
      <c r="J1250" s="16" t="n"/>
    </row>
    <row r="1251">
      <c r="A1251" s="41" t="b">
        <v>1</v>
      </c>
      <c r="B1251" s="31" t="inlineStr">
        <is>
          <t>Seaside Kingdom: Merci, Dorrie!</t>
        </is>
      </c>
      <c r="C1251" s="35" t="n"/>
      <c r="D1251" s="12" t="inlineStr">
        <is>
          <t>Minimum Jump Height:</t>
        </is>
      </c>
      <c r="E1251" s="34" t="inlineStr">
        <is>
          <t>No Jump Needed</t>
        </is>
      </c>
      <c r="F1251" s="34" t="n"/>
      <c r="G1251" s="34" t="n"/>
      <c r="H1251" s="34" t="n"/>
      <c r="I1251" s="34" t="n"/>
      <c r="J1251" s="16" t="n"/>
    </row>
    <row r="1252">
      <c r="B1252" s="42" t="n"/>
      <c r="D1252" s="12" t="inlineStr">
        <is>
          <t>Cap Throws that work:</t>
        </is>
      </c>
      <c r="E1252" s="34" t="inlineStr">
        <is>
          <t>No Cap Throw Needed</t>
        </is>
      </c>
      <c r="F1252" s="34" t="n"/>
      <c r="G1252" s="34" t="n"/>
      <c r="H1252" s="34" t="n"/>
      <c r="I1252" s="34" t="n"/>
      <c r="J1252" s="16" t="n"/>
    </row>
    <row r="1253">
      <c r="A1253" s="43" t="n"/>
      <c r="B1253" s="44" t="n"/>
      <c r="C1253" s="43" t="n"/>
      <c r="D1253" s="19" t="inlineStr">
        <is>
          <t>Other Required:</t>
        </is>
      </c>
      <c r="E1253" s="35" t="inlineStr">
        <is>
          <t>None</t>
        </is>
      </c>
      <c r="F1253" s="35" t="n"/>
      <c r="G1253" s="35" t="n"/>
      <c r="H1253" s="35" t="n"/>
      <c r="I1253" s="35" t="n"/>
      <c r="J1253" s="16" t="n"/>
    </row>
    <row r="1254">
      <c r="A1254" s="41" t="b">
        <v>1</v>
      </c>
      <c r="B1254" s="31" t="inlineStr">
        <is>
          <t>Seaside Kingdom: Bonjour, Dorrie!</t>
        </is>
      </c>
      <c r="C1254" s="35" t="inlineStr">
        <is>
          <t>Gushen</t>
        </is>
      </c>
      <c r="D1254" s="12" t="inlineStr">
        <is>
          <t>Minimum Jump Height:</t>
        </is>
      </c>
      <c r="E1254" s="34" t="inlineStr">
        <is>
          <t>No Jump Needed</t>
        </is>
      </c>
      <c r="F1254" s="34" t="n"/>
      <c r="G1254" s="34" t="n"/>
      <c r="H1254" s="34" t="n"/>
      <c r="I1254" s="34" t="n"/>
      <c r="J1254" s="16" t="n"/>
    </row>
    <row r="1255">
      <c r="B1255" s="42" t="n"/>
      <c r="D1255" s="12" t="inlineStr">
        <is>
          <t>Cap Throws that work:</t>
        </is>
      </c>
      <c r="E1255" s="34" t="inlineStr">
        <is>
          <t>Neutral Throw, Up Throw, Down Throw, Spin Throw</t>
        </is>
      </c>
      <c r="F1255" s="34" t="n"/>
      <c r="G1255" s="34" t="n"/>
      <c r="H1255" s="34" t="n"/>
      <c r="I1255" s="34" t="n"/>
      <c r="J1255" s="16" t="n"/>
    </row>
    <row r="1256">
      <c r="A1256" s="43" t="n"/>
      <c r="B1256" s="44" t="n"/>
      <c r="C1256" s="43" t="n"/>
      <c r="D1256" s="19" t="inlineStr">
        <is>
          <t>Other Required:</t>
        </is>
      </c>
      <c r="E1256" s="35" t="inlineStr">
        <is>
          <t>Capture</t>
        </is>
      </c>
      <c r="F1256" s="35" t="n"/>
      <c r="G1256" s="35" t="n"/>
      <c r="H1256" s="35" t="n"/>
      <c r="I1256" s="35" t="n"/>
      <c r="J1256" s="16" t="n"/>
    </row>
    <row r="1257">
      <c r="A1257" s="41" t="b">
        <v>1</v>
      </c>
      <c r="B1257" s="31" t="inlineStr">
        <is>
          <t>Seaside Kingdom: Under a Dangerous Ceiling</t>
        </is>
      </c>
      <c r="C1257" s="35" t="n"/>
      <c r="D1257" s="12" t="inlineStr">
        <is>
          <t>Minimum Jump Height:</t>
        </is>
      </c>
      <c r="E1257" s="34" t="inlineStr">
        <is>
          <t>No Jump Needed</t>
        </is>
      </c>
      <c r="F1257" s="34" t="n"/>
      <c r="G1257" s="34" t="n"/>
      <c r="H1257" s="34" t="n"/>
      <c r="I1257" s="34" t="n"/>
      <c r="J1257" s="16" t="n"/>
    </row>
    <row r="1258">
      <c r="B1258" s="42" t="n"/>
      <c r="D1258" s="12" t="inlineStr">
        <is>
          <t>Cap Throws that work:</t>
        </is>
      </c>
      <c r="E1258" s="34" t="inlineStr">
        <is>
          <t>No Cap Throw Needed</t>
        </is>
      </c>
      <c r="F1258" s="34" t="n"/>
      <c r="G1258" s="34" t="n"/>
      <c r="H1258" s="34" t="n"/>
      <c r="I1258" s="34" t="n"/>
      <c r="J1258" s="16" t="n"/>
    </row>
    <row r="1259">
      <c r="A1259" s="43" t="n"/>
      <c r="B1259" s="44" t="n"/>
      <c r="C1259" s="43" t="n"/>
      <c r="D1259" s="19" t="inlineStr">
        <is>
          <t>Other Required:</t>
        </is>
      </c>
      <c r="E1259" s="35" t="inlineStr">
        <is>
          <t>None, Ground Pound</t>
        </is>
      </c>
      <c r="F1259" s="35" t="n"/>
      <c r="G1259" s="35" t="n"/>
      <c r="H1259" s="35" t="n"/>
      <c r="I1259" s="35" t="n"/>
      <c r="J1259" s="16" t="n"/>
    </row>
    <row r="1260">
      <c r="A1260" s="41" t="b">
        <v>1</v>
      </c>
      <c r="B1260" s="31" t="inlineStr">
        <is>
          <t>Seaside Kingdom: What the Waves Left Behind</t>
        </is>
      </c>
      <c r="C1260" s="35" t="n"/>
      <c r="D1260" s="12" t="inlineStr">
        <is>
          <t>Minimum Jump Height:</t>
        </is>
      </c>
      <c r="E1260" s="34" t="inlineStr">
        <is>
          <t>Single Jump (258)</t>
        </is>
      </c>
      <c r="F1260" s="34" t="inlineStr">
        <is>
          <t>Long Jump</t>
        </is>
      </c>
      <c r="G1260" s="34" t="n"/>
      <c r="H1260" s="34" t="n"/>
      <c r="I1260" s="34" t="n"/>
      <c r="J1260" s="16" t="n"/>
    </row>
    <row r="1261">
      <c r="B1261" s="42" t="n"/>
      <c r="D1261" s="12" t="inlineStr">
        <is>
          <t>Cap Throws that work:</t>
        </is>
      </c>
      <c r="E1261" s="34" t="inlineStr">
        <is>
          <t>No Cap Throw Needed</t>
        </is>
      </c>
      <c r="F1261" s="34" t="inlineStr">
        <is>
          <t>Neutral Throw, Up Throw, Down Throw, Spin Throw</t>
        </is>
      </c>
      <c r="G1261" s="34" t="n"/>
      <c r="H1261" s="34" t="n"/>
      <c r="I1261" s="34" t="n"/>
      <c r="J1261" s="16" t="n"/>
    </row>
    <row r="1262">
      <c r="A1262" s="43" t="n"/>
      <c r="B1262" s="44" t="n"/>
      <c r="C1262" s="43" t="n"/>
      <c r="D1262" s="19" t="inlineStr">
        <is>
          <t>Other Required:</t>
        </is>
      </c>
      <c r="E1262" s="35" t="inlineStr">
        <is>
          <t>Ground Pound</t>
        </is>
      </c>
      <c r="F1262" s="35" t="inlineStr">
        <is>
          <t>Ground Pound</t>
        </is>
      </c>
      <c r="G1262" s="35" t="n"/>
      <c r="H1262" s="35" t="n"/>
      <c r="I1262" s="35" t="n"/>
      <c r="J1262" s="16" t="n"/>
    </row>
    <row r="1263">
      <c r="A1263" s="41" t="b">
        <v>1</v>
      </c>
      <c r="B1263" s="31" t="inlineStr">
        <is>
          <t>Seaside Kingdom: The Back Canyon: Excavate!</t>
        </is>
      </c>
      <c r="C1263" s="35" t="n"/>
      <c r="D1263" s="12" t="inlineStr">
        <is>
          <t>Minimum Jump Height:</t>
        </is>
      </c>
      <c r="E1263" s="34" t="inlineStr">
        <is>
          <t>Single Jump (258)</t>
        </is>
      </c>
      <c r="F1263" s="34" t="inlineStr">
        <is>
          <t>Long Jump</t>
        </is>
      </c>
      <c r="G1263" s="34" t="n"/>
      <c r="H1263" s="34" t="n"/>
      <c r="I1263" s="34" t="n"/>
      <c r="J1263" s="16" t="n"/>
    </row>
    <row r="1264">
      <c r="B1264" s="42" t="n"/>
      <c r="D1264" s="12" t="inlineStr">
        <is>
          <t>Cap Throws that work:</t>
        </is>
      </c>
      <c r="E1264" s="34" t="inlineStr">
        <is>
          <t>No Cap Throw Needed</t>
        </is>
      </c>
      <c r="F1264" s="34" t="inlineStr">
        <is>
          <t>Neutral Throw, Up Throw, Down Throw, Spin Throw</t>
        </is>
      </c>
      <c r="G1264" s="34" t="n"/>
      <c r="H1264" s="34" t="n"/>
      <c r="I1264" s="34" t="n"/>
      <c r="J1264" s="16" t="n"/>
    </row>
    <row r="1265">
      <c r="A1265" s="43" t="n"/>
      <c r="B1265" s="44" t="n"/>
      <c r="C1265" s="43" t="n"/>
      <c r="D1265" s="19" t="inlineStr">
        <is>
          <t>Other Required:</t>
        </is>
      </c>
      <c r="E1265" s="35" t="inlineStr">
        <is>
          <t>Ground Pound</t>
        </is>
      </c>
      <c r="F1265" s="35" t="inlineStr">
        <is>
          <t>Ground Pound</t>
        </is>
      </c>
      <c r="G1265" s="35" t="n"/>
      <c r="H1265" s="35" t="n"/>
      <c r="I1265" s="35" t="n"/>
      <c r="J1265" s="16" t="n"/>
    </row>
    <row r="1266">
      <c r="A1266" s="41" t="b">
        <v>1</v>
      </c>
      <c r="B1266" s="31" t="inlineStr">
        <is>
          <t>Seaside Kingdom: Bubblaine Northern Reaches</t>
        </is>
      </c>
      <c r="C1266" s="35" t="n"/>
      <c r="D1266" s="12" t="inlineStr">
        <is>
          <t>Minimum Jump Height:</t>
        </is>
      </c>
      <c r="E1266" s="34" t="inlineStr">
        <is>
          <t>No Jump Needed</t>
        </is>
      </c>
      <c r="F1266" s="34" t="n"/>
      <c r="G1266" s="34" t="n"/>
      <c r="H1266" s="34" t="n"/>
      <c r="I1266" s="34" t="n"/>
      <c r="J1266" s="16" t="n"/>
    </row>
    <row r="1267">
      <c r="B1267" s="42" t="n"/>
      <c r="D1267" s="12" t="inlineStr">
        <is>
          <t>Cap Throws that work:</t>
        </is>
      </c>
      <c r="E1267" s="34" t="inlineStr">
        <is>
          <t>No Cap Throw Needed</t>
        </is>
      </c>
      <c r="F1267" s="34" t="n"/>
      <c r="G1267" s="34" t="n"/>
      <c r="H1267" s="34" t="n"/>
      <c r="I1267" s="34" t="n"/>
      <c r="J1267" s="16" t="n"/>
    </row>
    <row r="1268">
      <c r="A1268" s="43" t="n"/>
      <c r="B1268" s="44" t="n"/>
      <c r="C1268" s="43" t="n"/>
      <c r="D1268" s="19" t="inlineStr">
        <is>
          <t>Other Required:</t>
        </is>
      </c>
      <c r="E1268" s="35" t="inlineStr">
        <is>
          <t>None, Ground Pound</t>
        </is>
      </c>
      <c r="F1268" s="35" t="n"/>
      <c r="G1268" s="35" t="n"/>
      <c r="H1268" s="35" t="n"/>
      <c r="I1268" s="35" t="n"/>
      <c r="J1268" s="16" t="n"/>
    </row>
    <row r="1269">
      <c r="A1269" s="41" t="b">
        <v>1</v>
      </c>
      <c r="B1269" s="31" t="inlineStr">
        <is>
          <t>Wriggling Power Moon: Wriggling on the Sandy Bottom</t>
        </is>
      </c>
      <c r="C1269" s="35" t="n"/>
      <c r="D1269" s="12" t="inlineStr">
        <is>
          <t>Minimum Jump Height:</t>
        </is>
      </c>
      <c r="E1269" s="34" t="inlineStr">
        <is>
          <t>No Jump Needed</t>
        </is>
      </c>
      <c r="F1269" s="34" t="n"/>
      <c r="G1269" s="34" t="n"/>
      <c r="H1269" s="34" t="n"/>
      <c r="I1269" s="34" t="n"/>
      <c r="J1269" s="16" t="n"/>
    </row>
    <row r="1270">
      <c r="B1270" s="42" t="n"/>
      <c r="D1270" s="12" t="inlineStr">
        <is>
          <t>Cap Throws that work:</t>
        </is>
      </c>
      <c r="E1270" s="34" t="inlineStr">
        <is>
          <t>Neutral Throw, Up Throw, Down Throw, Spin Throw</t>
        </is>
      </c>
      <c r="F1270" s="34" t="n"/>
      <c r="G1270" s="34" t="n"/>
      <c r="H1270" s="34" t="n"/>
      <c r="I1270" s="34" t="n"/>
      <c r="J1270" s="16" t="n"/>
    </row>
    <row r="1271">
      <c r="A1271" s="43" t="n"/>
      <c r="B1271" s="44" t="n"/>
      <c r="C1271" s="43" t="n"/>
      <c r="D1271" s="19" t="inlineStr">
        <is>
          <t>Other Required:</t>
        </is>
      </c>
      <c r="E1271" s="35" t="inlineStr">
        <is>
          <t>None, Ground Pound</t>
        </is>
      </c>
      <c r="F1271" s="35" t="n"/>
      <c r="G1271" s="35" t="n"/>
      <c r="H1271" s="35" t="n"/>
      <c r="I1271" s="35" t="n"/>
      <c r="J1271" s="16" t="n"/>
    </row>
    <row r="1272">
      <c r="A1272" s="41" t="b">
        <v>1</v>
      </c>
      <c r="B1272" s="31" t="inlineStr">
        <is>
          <t>Seaside Kingdom: Glass Palace Treasure Chest</t>
        </is>
      </c>
      <c r="C1272" s="35" t="n"/>
      <c r="D1272" s="12" t="inlineStr">
        <is>
          <t>Minimum Jump Height:</t>
        </is>
      </c>
      <c r="E1272" s="34" t="inlineStr">
        <is>
          <t>No Jump Needed</t>
        </is>
      </c>
      <c r="F1272" s="34" t="inlineStr">
        <is>
          <t>No Jump Needed</t>
        </is>
      </c>
      <c r="G1272" s="34" t="n"/>
      <c r="H1272" s="34" t="n"/>
      <c r="I1272" s="34" t="n"/>
      <c r="J1272" s="16" t="n"/>
    </row>
    <row r="1273">
      <c r="B1273" s="42" t="n"/>
      <c r="D1273" s="12" t="inlineStr">
        <is>
          <t>Cap Throws that work:</t>
        </is>
      </c>
      <c r="E1273" s="34" t="inlineStr">
        <is>
          <t>Neutral Throw, Up Throw, Down Throw, Spin Throw</t>
        </is>
      </c>
      <c r="F1273" s="34" t="inlineStr">
        <is>
          <t>No Cap Throw Needed</t>
        </is>
      </c>
      <c r="G1273" s="34" t="n"/>
      <c r="H1273" s="34" t="n"/>
      <c r="I1273" s="34" t="n"/>
      <c r="J1273" s="16" t="n"/>
    </row>
    <row r="1274">
      <c r="A1274" s="43" t="n"/>
      <c r="B1274" s="44" t="n"/>
      <c r="C1274" s="43" t="n"/>
      <c r="D1274" s="19" t="inlineStr">
        <is>
          <t>Other Required:</t>
        </is>
      </c>
      <c r="E1274" s="35" t="inlineStr">
        <is>
          <t>None</t>
        </is>
      </c>
      <c r="F1274" s="35" t="inlineStr">
        <is>
          <t>Ground Pound, None</t>
        </is>
      </c>
      <c r="G1274" s="35" t="n"/>
      <c r="H1274" s="35" t="n"/>
      <c r="I1274" s="35" t="n"/>
      <c r="J1274" s="16" t="n"/>
    </row>
    <row r="1275">
      <c r="A1275" s="41" t="b">
        <v>1</v>
      </c>
      <c r="B1275" s="31" t="inlineStr">
        <is>
          <t>Seaside Kingdom: Treasure Trap Hidden in the Inlet</t>
        </is>
      </c>
      <c r="C1275" s="35" t="n"/>
      <c r="D1275" s="12" t="inlineStr">
        <is>
          <t>Minimum Jump Height:</t>
        </is>
      </c>
      <c r="E1275" s="34" t="inlineStr">
        <is>
          <t>Long Jump</t>
        </is>
      </c>
      <c r="F1275" s="34" t="inlineStr">
        <is>
          <t>Single Jump (258)</t>
        </is>
      </c>
      <c r="G1275" s="34" t="n"/>
      <c r="H1275" s="34" t="n"/>
      <c r="I1275" s="34" t="n"/>
      <c r="J1275" s="16" t="n"/>
    </row>
    <row r="1276">
      <c r="B1276" s="42" t="n"/>
      <c r="D1276" s="12" t="inlineStr">
        <is>
          <t>Cap Throws that work:</t>
        </is>
      </c>
      <c r="E1276" s="34" t="inlineStr">
        <is>
          <t>Neutral Throw, Up Throw, Down Throw, Spin Throw</t>
        </is>
      </c>
      <c r="F1276" s="34" t="inlineStr">
        <is>
          <t>No Cap Throw Needed</t>
        </is>
      </c>
      <c r="G1276" s="34" t="n"/>
      <c r="H1276" s="34" t="n"/>
      <c r="I1276" s="34" t="n"/>
      <c r="J1276" s="16" t="n"/>
    </row>
    <row r="1277">
      <c r="A1277" s="43" t="n"/>
      <c r="B1277" s="44" t="n"/>
      <c r="C1277" s="43" t="n"/>
      <c r="D1277" s="19" t="inlineStr">
        <is>
          <t>Other Required:</t>
        </is>
      </c>
      <c r="E1277" s="35" t="inlineStr">
        <is>
          <t>None</t>
        </is>
      </c>
      <c r="F1277" s="35" t="inlineStr">
        <is>
          <t>Ground Pound</t>
        </is>
      </c>
      <c r="G1277" s="35" t="n"/>
      <c r="H1277" s="35" t="n"/>
      <c r="I1277" s="35" t="n"/>
      <c r="J1277" s="16" t="n"/>
    </row>
    <row r="1278">
      <c r="A1278" s="41" t="b">
        <v>1</v>
      </c>
      <c r="B1278" s="31" t="inlineStr">
        <is>
          <t>Seaside Kingdom: Sea Gardening: Inlet Seed</t>
        </is>
      </c>
      <c r="C1278" s="35" t="n"/>
      <c r="D1278" s="12" t="inlineStr">
        <is>
          <t>Minimum Jump Height:</t>
        </is>
      </c>
      <c r="E1278" s="34" t="inlineStr">
        <is>
          <t>Long Jump</t>
        </is>
      </c>
      <c r="F1278" s="34" t="n"/>
      <c r="G1278" s="34" t="n"/>
      <c r="H1278" s="34" t="n"/>
      <c r="I1278" s="34" t="n"/>
      <c r="J1278" s="16" t="n"/>
    </row>
    <row r="1279">
      <c r="B1279" s="42" t="n"/>
      <c r="D1279" s="12" t="inlineStr">
        <is>
          <t>Cap Throws that work:</t>
        </is>
      </c>
      <c r="E1279" s="34" t="inlineStr">
        <is>
          <t>No Cap Throw Needed</t>
        </is>
      </c>
      <c r="F1279" s="34" t="n"/>
      <c r="G1279" s="34" t="n"/>
      <c r="H1279" s="34" t="n"/>
      <c r="I1279" s="34" t="n"/>
      <c r="J1279" s="16" t="n"/>
    </row>
    <row r="1280">
      <c r="A1280" s="43" t="n"/>
      <c r="B1280" s="44" t="n"/>
      <c r="C1280" s="43" t="n"/>
      <c r="D1280" s="19" t="inlineStr">
        <is>
          <t>Other Required:</t>
        </is>
      </c>
      <c r="E1280" s="35" t="inlineStr">
        <is>
          <t>None</t>
        </is>
      </c>
      <c r="F1280" s="35" t="n"/>
      <c r="G1280" s="35" t="n"/>
      <c r="H1280" s="35" t="n"/>
      <c r="I1280" s="35" t="n"/>
      <c r="J1280" s="16" t="n"/>
    </row>
    <row r="1281">
      <c r="A1281" s="41" t="b">
        <v>1</v>
      </c>
      <c r="B1281" s="31" t="inlineStr">
        <is>
          <t>Seaside Kingdom: Sea Gardening: Canyon Seed</t>
        </is>
      </c>
      <c r="C1281" s="35" t="n"/>
      <c r="D1281" s="12" t="inlineStr">
        <is>
          <t>Minimum Jump Height:</t>
        </is>
      </c>
      <c r="E1281" s="34" t="inlineStr">
        <is>
          <t>Single Jump (258)</t>
        </is>
      </c>
      <c r="F1281" s="34" t="n"/>
      <c r="G1281" s="34" t="n"/>
      <c r="H1281" s="34" t="n"/>
      <c r="I1281" s="34" t="n"/>
      <c r="J1281" s="16" t="n"/>
    </row>
    <row r="1282">
      <c r="B1282" s="42" t="n"/>
      <c r="D1282" s="12" t="inlineStr">
        <is>
          <t>Cap Throws that work:</t>
        </is>
      </c>
      <c r="E1282" s="34" t="inlineStr">
        <is>
          <t>No Cap Throw Needed</t>
        </is>
      </c>
      <c r="F1282" s="34" t="n"/>
      <c r="G1282" s="34" t="n"/>
      <c r="H1282" s="34" t="n"/>
      <c r="I1282" s="34" t="n"/>
      <c r="J1282" s="16" t="n"/>
    </row>
    <row r="1283">
      <c r="A1283" s="43" t="n"/>
      <c r="B1283" s="44" t="n"/>
      <c r="C1283" s="43" t="n"/>
      <c r="D1283" s="19" t="inlineStr">
        <is>
          <t>Other Required:</t>
        </is>
      </c>
      <c r="E1283" s="35" t="inlineStr">
        <is>
          <t>None</t>
        </is>
      </c>
      <c r="F1283" s="35" t="n"/>
      <c r="G1283" s="35" t="n"/>
      <c r="H1283" s="35" t="n"/>
      <c r="I1283" s="35" t="n"/>
      <c r="J1283" s="16" t="n"/>
    </row>
    <row r="1284">
      <c r="A1284" s="41" t="b">
        <v>1</v>
      </c>
      <c r="B1284" s="31" t="inlineStr">
        <is>
          <t>Seaside Kingdom: Sea Gardening: Hot-Spring Seed</t>
        </is>
      </c>
      <c r="C1284" s="35" t="n"/>
      <c r="D1284" s="12" t="inlineStr">
        <is>
          <t>Minimum Jump Height:</t>
        </is>
      </c>
      <c r="E1284" s="34" t="inlineStr">
        <is>
          <t>Long Jump</t>
        </is>
      </c>
      <c r="F1284" s="34" t="n"/>
      <c r="G1284" s="34" t="n"/>
      <c r="H1284" s="34" t="n"/>
      <c r="I1284" s="34" t="n"/>
      <c r="J1284" s="16" t="n"/>
    </row>
    <row r="1285">
      <c r="B1285" s="42" t="n"/>
      <c r="D1285" s="12" t="inlineStr">
        <is>
          <t>Cap Throws that work:</t>
        </is>
      </c>
      <c r="E1285" s="34" t="inlineStr">
        <is>
          <t>No Cap Throw Needed</t>
        </is>
      </c>
      <c r="F1285" s="34" t="n"/>
      <c r="G1285" s="34" t="n"/>
      <c r="H1285" s="34" t="n"/>
      <c r="I1285" s="34" t="n"/>
      <c r="J1285" s="16" t="n"/>
    </row>
    <row r="1286">
      <c r="A1286" s="43" t="n"/>
      <c r="B1286" s="44" t="n"/>
      <c r="C1286" s="43" t="n"/>
      <c r="D1286" s="19" t="inlineStr">
        <is>
          <t>Other Required:</t>
        </is>
      </c>
      <c r="E1286" s="35" t="inlineStr">
        <is>
          <t>None</t>
        </is>
      </c>
      <c r="F1286" s="35" t="n"/>
      <c r="G1286" s="35" t="n"/>
      <c r="H1286" s="35" t="n"/>
      <c r="I1286" s="35" t="n"/>
      <c r="J1286" s="16" t="n"/>
    </row>
    <row r="1287">
      <c r="A1287" s="41" t="b">
        <v>1</v>
      </c>
      <c r="B1287" s="31" t="inlineStr">
        <is>
          <t>Seaside Kingdom: Sea Gardening: Ocean Trench Seed</t>
        </is>
      </c>
      <c r="C1287" s="35" t="n"/>
      <c r="D1287" s="12" t="inlineStr">
        <is>
          <t>Minimum Jump Height:</t>
        </is>
      </c>
      <c r="E1287" s="34" t="inlineStr">
        <is>
          <t>Long Jump</t>
        </is>
      </c>
      <c r="F1287" s="34" t="n"/>
      <c r="G1287" s="34" t="n"/>
      <c r="H1287" s="34" t="n"/>
      <c r="I1287" s="34" t="n"/>
      <c r="J1287" s="16" t="n"/>
    </row>
    <row r="1288">
      <c r="B1288" s="42" t="n"/>
      <c r="D1288" s="12" t="inlineStr">
        <is>
          <t>Cap Throws that work:</t>
        </is>
      </c>
      <c r="E1288" s="34" t="inlineStr">
        <is>
          <t>No Cap Throw Needed</t>
        </is>
      </c>
      <c r="F1288" s="34" t="n"/>
      <c r="G1288" s="34" t="n"/>
      <c r="H1288" s="34" t="n"/>
      <c r="I1288" s="34" t="n"/>
      <c r="J1288" s="16" t="n"/>
    </row>
    <row r="1289">
      <c r="A1289" s="43" t="n"/>
      <c r="B1289" s="44" t="n"/>
      <c r="C1289" s="43" t="n"/>
      <c r="D1289" s="19" t="inlineStr">
        <is>
          <t>Other Required:</t>
        </is>
      </c>
      <c r="E1289" s="35" t="inlineStr">
        <is>
          <t>None</t>
        </is>
      </c>
      <c r="F1289" s="35" t="n"/>
      <c r="G1289" s="35" t="n"/>
      <c r="H1289" s="35" t="n"/>
      <c r="I1289" s="35" t="n"/>
      <c r="J1289" s="16" t="n"/>
    </row>
    <row r="1290">
      <c r="A1290" s="41" t="b">
        <v>1</v>
      </c>
      <c r="B1290" s="31" t="inlineStr">
        <is>
          <t>Seaside Kingdom: Seaside Kingdom Timer Challenge 1</t>
        </is>
      </c>
      <c r="C1290" s="35" t="n"/>
      <c r="D1290" s="12" t="inlineStr">
        <is>
          <t>Minimum Jump Height:</t>
        </is>
      </c>
      <c r="E1290" s="34" t="inlineStr">
        <is>
          <t>Long Jump</t>
        </is>
      </c>
      <c r="F1290" s="34" t="n"/>
      <c r="G1290" s="34" t="n"/>
      <c r="H1290" s="34" t="n"/>
      <c r="I1290" s="34" t="n"/>
      <c r="J1290" s="16" t="n"/>
    </row>
    <row r="1291">
      <c r="B1291" s="42" t="n"/>
      <c r="D1291" s="12" t="inlineStr">
        <is>
          <t>Cap Throws that work:</t>
        </is>
      </c>
      <c r="E1291" s="34" t="inlineStr">
        <is>
          <t>No Cap Throw Needed</t>
        </is>
      </c>
      <c r="F1291" s="34" t="n"/>
      <c r="G1291" s="34" t="n"/>
      <c r="H1291" s="34" t="n"/>
      <c r="I1291" s="34" t="n"/>
      <c r="J1291" s="16" t="n"/>
    </row>
    <row r="1292">
      <c r="A1292" s="43" t="n"/>
      <c r="B1292" s="44" t="n"/>
      <c r="C1292" s="43" t="n"/>
      <c r="D1292" s="19" t="inlineStr">
        <is>
          <t>Other Required:</t>
        </is>
      </c>
      <c r="E1292" s="35" t="inlineStr">
        <is>
          <t>Ground Pound</t>
        </is>
      </c>
      <c r="F1292" s="35" t="n"/>
      <c r="G1292" s="35" t="n"/>
      <c r="H1292" s="35" t="n"/>
      <c r="I1292" s="35" t="n"/>
      <c r="J1292" s="16" t="n"/>
    </row>
    <row r="1293">
      <c r="A1293" s="41" t="b">
        <v>1</v>
      </c>
      <c r="B1293" s="31" t="inlineStr">
        <is>
          <t>Seaside Kingdom: Seaside Kingdom Timer Challenge 2</t>
        </is>
      </c>
      <c r="C1293" s="35" t="n"/>
      <c r="D1293" s="12" t="inlineStr">
        <is>
          <t>Minimum Jump Height:</t>
        </is>
      </c>
      <c r="E1293" s="34" t="inlineStr">
        <is>
          <t>No Jump Needed</t>
        </is>
      </c>
      <c r="F1293" s="34" t="n"/>
      <c r="G1293" s="34" t="n"/>
      <c r="H1293" s="34" t="n"/>
      <c r="I1293" s="34" t="n"/>
      <c r="J1293" s="16" t="n"/>
    </row>
    <row r="1294">
      <c r="B1294" s="42" t="n"/>
      <c r="D1294" s="12" t="inlineStr">
        <is>
          <t>Cap Throws that work:</t>
        </is>
      </c>
      <c r="E1294" s="34" t="inlineStr">
        <is>
          <t>Neutral Throw, Up Throw, Down Throw, Spin Throw</t>
        </is>
      </c>
      <c r="F1294" s="34" t="n"/>
      <c r="G1294" s="34" t="n"/>
      <c r="H1294" s="34" t="n"/>
      <c r="I1294" s="34" t="n"/>
      <c r="J1294" s="16" t="n"/>
    </row>
    <row r="1295">
      <c r="A1295" s="43" t="n"/>
      <c r="B1295" s="44" t="n"/>
      <c r="C1295" s="43" t="n"/>
      <c r="D1295" s="19" t="inlineStr">
        <is>
          <t>Other Required:</t>
        </is>
      </c>
      <c r="E1295" s="35" t="inlineStr">
        <is>
          <t>None</t>
        </is>
      </c>
      <c r="F1295" s="35" t="n"/>
      <c r="G1295" s="35" t="n"/>
      <c r="H1295" s="35" t="n"/>
      <c r="I1295" s="35" t="n"/>
      <c r="J1295" s="16" t="n"/>
    </row>
    <row r="1296">
      <c r="A1296" s="41" t="b">
        <v>1</v>
      </c>
      <c r="B1296" s="31" t="inlineStr">
        <is>
          <t>Seaside Kingdom: Found on the Beach! Good Dog!</t>
        </is>
      </c>
      <c r="C1296" s="35" t="n"/>
      <c r="D1296" s="12" t="inlineStr">
        <is>
          <t>Minimum Jump Height:</t>
        </is>
      </c>
      <c r="E1296" s="34" t="inlineStr">
        <is>
          <t>Single Jump (258)</t>
        </is>
      </c>
      <c r="F1296" s="34" t="inlineStr">
        <is>
          <t>Long Jump</t>
        </is>
      </c>
      <c r="G1296" s="34" t="n"/>
      <c r="H1296" s="34" t="n"/>
      <c r="I1296" s="34" t="n"/>
      <c r="J1296" s="16" t="n"/>
    </row>
    <row r="1297">
      <c r="B1297" s="42" t="n"/>
      <c r="D1297" s="12" t="inlineStr">
        <is>
          <t>Cap Throws that work:</t>
        </is>
      </c>
      <c r="E1297" s="34" t="inlineStr">
        <is>
          <t>No Cap Throw Needed</t>
        </is>
      </c>
      <c r="F1297" s="34" t="inlineStr">
        <is>
          <t>Neutral Throw, Up Throw, Down Throw, Spin Throw</t>
        </is>
      </c>
      <c r="G1297" s="34" t="n"/>
      <c r="H1297" s="34" t="n"/>
      <c r="I1297" s="34" t="n"/>
      <c r="J1297" s="16" t="n"/>
    </row>
    <row r="1298">
      <c r="A1298" s="43" t="n"/>
      <c r="B1298" s="44" t="n"/>
      <c r="C1298" s="43" t="n"/>
      <c r="D1298" s="19" t="inlineStr">
        <is>
          <t>Other Required:</t>
        </is>
      </c>
      <c r="E1298" s="35" t="inlineStr">
        <is>
          <t>Ground Pound</t>
        </is>
      </c>
      <c r="F1298" s="35" t="inlineStr">
        <is>
          <t>Ground Pound</t>
        </is>
      </c>
      <c r="G1298" s="35" t="n"/>
      <c r="H1298" s="35" t="n"/>
      <c r="I1298" s="35" t="n"/>
      <c r="J1298" s="16" t="n"/>
    </row>
    <row r="1299">
      <c r="A1299" s="41" t="b">
        <v>1</v>
      </c>
      <c r="B1299" s="31" t="inlineStr">
        <is>
          <t>Seaside Kingdom: Moon Shards in the Sea</t>
        </is>
      </c>
      <c r="C1299" s="35" t="n"/>
      <c r="D1299" s="12" t="inlineStr">
        <is>
          <t>Minimum Jump Height:</t>
        </is>
      </c>
      <c r="E1299" s="34" t="inlineStr">
        <is>
          <t>No Jump Needed</t>
        </is>
      </c>
      <c r="F1299" s="34" t="n"/>
      <c r="G1299" s="34" t="n"/>
      <c r="H1299" s="34" t="n"/>
      <c r="I1299" s="34" t="n"/>
      <c r="J1299" s="16" t="n"/>
    </row>
    <row r="1300">
      <c r="B1300" s="42" t="n"/>
      <c r="D1300" s="12" t="inlineStr">
        <is>
          <t>Cap Throws that work:</t>
        </is>
      </c>
      <c r="E1300" s="34" t="inlineStr">
        <is>
          <t>Neutral Throw, Up Throw, Down Throw, Spin Throw</t>
        </is>
      </c>
      <c r="F1300" s="34" t="n"/>
      <c r="G1300" s="34" t="n"/>
      <c r="H1300" s="34" t="n"/>
      <c r="I1300" s="34" t="n"/>
      <c r="J1300" s="16" t="n"/>
    </row>
    <row r="1301">
      <c r="A1301" s="43" t="n"/>
      <c r="B1301" s="44" t="n"/>
      <c r="C1301" s="43" t="n"/>
      <c r="D1301" s="19" t="inlineStr">
        <is>
          <t>Other Required:</t>
        </is>
      </c>
      <c r="E1301" s="35" t="inlineStr">
        <is>
          <t>None</t>
        </is>
      </c>
      <c r="F1301" s="35" t="n"/>
      <c r="G1301" s="35" t="n"/>
      <c r="H1301" s="35" t="n"/>
      <c r="I1301" s="35" t="n"/>
      <c r="J1301" s="16" t="n"/>
    </row>
    <row r="1302">
      <c r="A1302" s="41" t="b">
        <v>1</v>
      </c>
      <c r="B1302" s="31" t="inlineStr">
        <is>
          <t>Seaside Kingdom: Taking Notes: Ocean Surface Dash</t>
        </is>
      </c>
      <c r="C1302" s="35" t="inlineStr">
        <is>
          <t>Gushen</t>
        </is>
      </c>
      <c r="D1302" s="12" t="inlineStr">
        <is>
          <t>Minimum Jump Height:</t>
        </is>
      </c>
      <c r="E1302" s="34" t="inlineStr">
        <is>
          <t>Long Jump</t>
        </is>
      </c>
      <c r="F1302" s="34" t="inlineStr">
        <is>
          <t>No Jump Needed</t>
        </is>
      </c>
      <c r="G1302" s="34" t="n"/>
      <c r="H1302" s="34" t="n"/>
      <c r="I1302" s="34" t="n"/>
      <c r="J1302" s="16" t="n"/>
    </row>
    <row r="1303">
      <c r="B1303" s="42" t="n"/>
      <c r="D1303" s="12" t="inlineStr">
        <is>
          <t>Cap Throws that work:</t>
        </is>
      </c>
      <c r="E1303" s="34" t="inlineStr">
        <is>
          <t>Neutral Throw, Up Throw, Down Throw, Spin Throw</t>
        </is>
      </c>
      <c r="F1303" s="34" t="inlineStr">
        <is>
          <t>Neutral Throw, Up Throw, Down Throw, Spin Throw</t>
        </is>
      </c>
      <c r="G1303" s="34" t="n"/>
      <c r="H1303" s="34" t="n"/>
      <c r="I1303" s="34" t="n"/>
      <c r="J1303" s="16" t="n"/>
    </row>
    <row r="1304">
      <c r="A1304" s="43" t="n"/>
      <c r="B1304" s="44" t="n"/>
      <c r="C1304" s="43" t="n"/>
      <c r="D1304" s="19" t="inlineStr">
        <is>
          <t>Other Required:</t>
        </is>
      </c>
      <c r="E1304" s="35" t="inlineStr">
        <is>
          <t>None</t>
        </is>
      </c>
      <c r="F1304" s="35" t="inlineStr">
        <is>
          <t>Capture</t>
        </is>
      </c>
      <c r="G1304" s="35" t="n"/>
      <c r="H1304" s="35" t="n"/>
      <c r="I1304" s="35" t="n"/>
      <c r="J1304" s="16" t="n"/>
    </row>
    <row r="1305">
      <c r="A1305" s="41" t="b">
        <v>1</v>
      </c>
      <c r="B1305" s="31" t="inlineStr">
        <is>
          <t>Seaside Kingdom: Love by the Seaside</t>
        </is>
      </c>
      <c r="C1305" s="35" t="inlineStr">
        <is>
          <t>Goomba</t>
        </is>
      </c>
      <c r="D1305" s="12" t="inlineStr">
        <is>
          <t>Minimum Jump Height:</t>
        </is>
      </c>
      <c r="E1305" s="34" t="inlineStr">
        <is>
          <t>No Jump Needed</t>
        </is>
      </c>
      <c r="F1305" s="34" t="n"/>
      <c r="G1305" s="34" t="n"/>
      <c r="H1305" s="34" t="n"/>
      <c r="I1305" s="34" t="n"/>
      <c r="J1305" s="16" t="n"/>
    </row>
    <row r="1306">
      <c r="B1306" s="42" t="n"/>
      <c r="D1306" s="12" t="inlineStr">
        <is>
          <t>Cap Throws that work:</t>
        </is>
      </c>
      <c r="E1306" s="34" t="inlineStr">
        <is>
          <t>Neutral Throw, Up Throw, Down Throw, Spin Throw</t>
        </is>
      </c>
      <c r="F1306" s="34" t="n"/>
      <c r="G1306" s="34" t="n"/>
      <c r="H1306" s="34" t="n"/>
      <c r="I1306" s="34" t="n"/>
      <c r="J1306" s="16" t="n"/>
    </row>
    <row r="1307">
      <c r="A1307" s="43" t="n"/>
      <c r="B1307" s="44" t="n"/>
      <c r="C1307" s="43" t="n"/>
      <c r="D1307" s="19" t="inlineStr">
        <is>
          <t>Other Required:</t>
        </is>
      </c>
      <c r="E1307" s="35" t="inlineStr">
        <is>
          <t>Capture</t>
        </is>
      </c>
      <c r="F1307" s="35" t="n"/>
      <c r="G1307" s="35" t="n"/>
      <c r="H1307" s="35" t="n"/>
      <c r="I1307" s="35" t="n"/>
      <c r="J1307" s="16" t="n"/>
    </row>
    <row r="1308">
      <c r="A1308" s="41" t="b">
        <v>1</v>
      </c>
      <c r="B1308" s="31" t="inlineStr">
        <is>
          <t>Seaside Kingdom: Lighthouse Leaper</t>
        </is>
      </c>
      <c r="C1308" s="35" t="inlineStr">
        <is>
          <t>Glydon</t>
        </is>
      </c>
      <c r="D1308" s="12" t="inlineStr">
        <is>
          <t>Minimum Jump Height:</t>
        </is>
      </c>
      <c r="E1308" s="34" t="inlineStr">
        <is>
          <t>Long Jump</t>
        </is>
      </c>
      <c r="F1308" s="34" t="n"/>
      <c r="G1308" s="34" t="n"/>
      <c r="H1308" s="34" t="n"/>
      <c r="I1308" s="34" t="n"/>
      <c r="J1308" s="16" t="n"/>
    </row>
    <row r="1309">
      <c r="B1309" s="42" t="n"/>
      <c r="D1309" s="12" t="inlineStr">
        <is>
          <t>Cap Throws that work:</t>
        </is>
      </c>
      <c r="E1309" s="34" t="inlineStr">
        <is>
          <t>Neutral Throw, Up Throw, Down Throw, Spin Throw</t>
        </is>
      </c>
      <c r="F1309" s="34" t="n"/>
      <c r="G1309" s="34" t="n"/>
      <c r="H1309" s="34" t="n"/>
      <c r="I1309" s="34" t="n"/>
      <c r="J1309" s="16" t="n"/>
    </row>
    <row r="1310">
      <c r="A1310" s="43" t="n"/>
      <c r="B1310" s="44" t="n"/>
      <c r="C1310" s="43" t="n"/>
      <c r="D1310" s="19" t="inlineStr">
        <is>
          <t>Other Required:</t>
        </is>
      </c>
      <c r="E1310" s="35" t="inlineStr">
        <is>
          <t>Capture</t>
        </is>
      </c>
      <c r="F1310" s="35" t="n"/>
      <c r="G1310" s="35" t="n"/>
      <c r="H1310" s="35" t="n"/>
      <c r="I1310" s="35" t="n"/>
      <c r="J1310" s="16" t="n"/>
    </row>
    <row r="1311">
      <c r="A1311" s="41" t="b">
        <v>1</v>
      </c>
      <c r="B1311" s="31" t="inlineStr">
        <is>
          <t>Seaside Kingdom: Good Job, Captain Toad!</t>
        </is>
      </c>
      <c r="C1311" s="35" t="inlineStr">
        <is>
          <t>Gushen</t>
        </is>
      </c>
      <c r="D1311" s="12" t="inlineStr">
        <is>
          <t>Minimum Jump Height:</t>
        </is>
      </c>
      <c r="E1311" s="34" t="inlineStr">
        <is>
          <t>No Jump Needed</t>
        </is>
      </c>
      <c r="F1311" s="34" t="inlineStr">
        <is>
          <t>Single Jump (258)</t>
        </is>
      </c>
      <c r="G1311" s="34" t="n"/>
      <c r="H1311" s="34" t="n"/>
      <c r="I1311" s="34" t="n"/>
      <c r="J1311" s="16" t="n"/>
    </row>
    <row r="1312">
      <c r="B1312" s="42" t="n"/>
      <c r="D1312" s="12" t="inlineStr">
        <is>
          <t>Cap Throws that work:</t>
        </is>
      </c>
      <c r="E1312" s="34" t="inlineStr">
        <is>
          <t>Neutral Throw, Up Throw, Down Throw, Spin Throw</t>
        </is>
      </c>
      <c r="F1312" s="34" t="inlineStr">
        <is>
          <t>Neutral Throw</t>
        </is>
      </c>
      <c r="G1312" s="34" t="n"/>
      <c r="H1312" s="34" t="n"/>
      <c r="I1312" s="34" t="n"/>
      <c r="J1312" s="16" t="n"/>
    </row>
    <row r="1313">
      <c r="A1313" s="43" t="n"/>
      <c r="B1313" s="44" t="n"/>
      <c r="C1313" s="43" t="n"/>
      <c r="D1313" s="19" t="inlineStr">
        <is>
          <t>Other Required:</t>
        </is>
      </c>
      <c r="E1313" s="35" t="inlineStr">
        <is>
          <t>Capture</t>
        </is>
      </c>
      <c r="F1313" s="35" t="inlineStr">
        <is>
          <t>Dive, Wall Slide</t>
        </is>
      </c>
      <c r="G1313" s="35" t="n"/>
      <c r="H1313" s="35" t="n"/>
      <c r="I1313" s="35" t="n"/>
      <c r="J1313" s="16" t="n"/>
    </row>
    <row r="1314">
      <c r="A1314" s="41" t="b">
        <v>1</v>
      </c>
      <c r="B1314" s="31" t="inlineStr">
        <is>
          <t>Seaside Kingdom: Ocean Quiz: Good!</t>
        </is>
      </c>
      <c r="C1314" s="35" t="n"/>
      <c r="D1314" s="12" t="inlineStr">
        <is>
          <t>Minimum Jump Height:</t>
        </is>
      </c>
      <c r="E1314" s="34" t="inlineStr">
        <is>
          <t>No Jump Needed</t>
        </is>
      </c>
      <c r="F1314" s="34" t="n"/>
      <c r="G1314" s="34" t="n"/>
      <c r="H1314" s="34" t="n"/>
      <c r="I1314" s="34" t="n"/>
      <c r="J1314" s="16" t="n"/>
    </row>
    <row r="1315">
      <c r="B1315" s="42" t="n"/>
      <c r="D1315" s="12" t="inlineStr">
        <is>
          <t>Cap Throws that work:</t>
        </is>
      </c>
      <c r="E1315" s="34" t="inlineStr">
        <is>
          <t>No Cap Throw Needed</t>
        </is>
      </c>
      <c r="F1315" s="34" t="n"/>
      <c r="G1315" s="34" t="n"/>
      <c r="H1315" s="34" t="n"/>
      <c r="I1315" s="34" t="n"/>
      <c r="J1315" s="16" t="n"/>
    </row>
    <row r="1316">
      <c r="A1316" s="43" t="n"/>
      <c r="B1316" s="44" t="n"/>
      <c r="C1316" s="43" t="n"/>
      <c r="D1316" s="19" t="inlineStr">
        <is>
          <t>Other Required:</t>
        </is>
      </c>
      <c r="E1316" s="35" t="inlineStr">
        <is>
          <t>None</t>
        </is>
      </c>
      <c r="F1316" s="35" t="n"/>
      <c r="G1316" s="35" t="n"/>
      <c r="H1316" s="35" t="n"/>
      <c r="I1316" s="35" t="n"/>
      <c r="J1316" s="16" t="n"/>
    </row>
    <row r="1317">
      <c r="A1317" s="41" t="b">
        <v>1</v>
      </c>
      <c r="B1317" s="31" t="inlineStr">
        <is>
          <t>Seaside Kingdom: Shopping in Bubblaine</t>
        </is>
      </c>
      <c r="C1317" s="35" t="n"/>
      <c r="D1317" s="12" t="inlineStr">
        <is>
          <t>Minimum Jump Height:</t>
        </is>
      </c>
      <c r="E1317" s="34" t="inlineStr">
        <is>
          <t>No Jump Needed</t>
        </is>
      </c>
      <c r="F1317" s="34" t="n"/>
      <c r="G1317" s="34" t="n"/>
      <c r="H1317" s="34" t="n"/>
      <c r="I1317" s="34" t="n"/>
      <c r="J1317" s="16" t="n"/>
    </row>
    <row r="1318">
      <c r="B1318" s="42" t="n"/>
      <c r="D1318" s="12" t="inlineStr">
        <is>
          <t>Cap Throws that work:</t>
        </is>
      </c>
      <c r="E1318" s="34" t="inlineStr">
        <is>
          <t>No Cap Throw Needed</t>
        </is>
      </c>
      <c r="F1318" s="34" t="n"/>
      <c r="G1318" s="34" t="n"/>
      <c r="H1318" s="34" t="n"/>
      <c r="I1318" s="34" t="n"/>
      <c r="J1318" s="16" t="n"/>
    </row>
    <row r="1319">
      <c r="A1319" s="43" t="n"/>
      <c r="B1319" s="44" t="n"/>
      <c r="C1319" s="43" t="n"/>
      <c r="D1319" s="19" t="inlineStr">
        <is>
          <t>Other Required:</t>
        </is>
      </c>
      <c r="E1319" s="35" t="inlineStr">
        <is>
          <t>None</t>
        </is>
      </c>
      <c r="F1319" s="35" t="n"/>
      <c r="G1319" s="35" t="n"/>
      <c r="H1319" s="35" t="n"/>
      <c r="I1319" s="35" t="n"/>
      <c r="J1319" s="16" t="n"/>
    </row>
    <row r="1320">
      <c r="A1320" s="41" t="b">
        <v>1</v>
      </c>
      <c r="B1320" s="31" t="inlineStr">
        <is>
          <t>Seaside Kingdom: Beach Volleyball: Champ</t>
        </is>
      </c>
      <c r="C1320" s="35" t="n"/>
      <c r="D1320" s="12" t="inlineStr">
        <is>
          <t>Minimum Jump Height:</t>
        </is>
      </c>
      <c r="E1320" s="34" t="inlineStr">
        <is>
          <t>Single Jump (258)</t>
        </is>
      </c>
      <c r="F1320" s="34" t="n"/>
      <c r="G1320" s="34" t="n"/>
      <c r="H1320" s="34" t="n"/>
      <c r="I1320" s="34" t="n"/>
      <c r="J1320" s="16" t="n"/>
    </row>
    <row r="1321">
      <c r="B1321" s="42" t="n"/>
      <c r="D1321" s="12" t="inlineStr">
        <is>
          <t>Cap Throws that work:</t>
        </is>
      </c>
      <c r="E1321" s="34" t="inlineStr">
        <is>
          <t>Neutral Throw</t>
        </is>
      </c>
      <c r="F1321" s="34" t="n"/>
      <c r="G1321" s="34" t="n"/>
      <c r="H1321" s="34" t="n"/>
      <c r="I1321" s="34" t="n"/>
      <c r="J1321" s="16" t="n"/>
    </row>
    <row r="1322">
      <c r="A1322" s="43" t="n"/>
      <c r="B1322" s="44" t="n"/>
      <c r="C1322" s="43" t="n"/>
      <c r="D1322" s="19" t="inlineStr">
        <is>
          <t>Other Required:</t>
        </is>
      </c>
      <c r="E1322" s="35" t="n"/>
      <c r="F1322" s="35" t="n"/>
      <c r="G1322" s="35" t="n"/>
      <c r="H1322" s="35" t="n"/>
      <c r="I1322" s="35" t="n"/>
      <c r="J1322" s="16" t="n"/>
    </row>
    <row r="1323">
      <c r="A1323" s="41" t="b">
        <v>1</v>
      </c>
      <c r="B1323" s="31" t="inlineStr">
        <is>
          <t>Seaside Kingdom: Beach Volleyball: Hero of the Beach!</t>
        </is>
      </c>
      <c r="C1323" s="35" t="n"/>
      <c r="D1323" s="12" t="inlineStr">
        <is>
          <t>Minimum Jump Height:</t>
        </is>
      </c>
      <c r="E1323" s="34" t="inlineStr">
        <is>
          <t>Single Jump (258)</t>
        </is>
      </c>
      <c r="F1323" s="34" t="n"/>
      <c r="G1323" s="34" t="n"/>
      <c r="H1323" s="34" t="n"/>
      <c r="I1323" s="34" t="n"/>
      <c r="J1323" s="16" t="n"/>
    </row>
    <row r="1324">
      <c r="B1324" s="42" t="n"/>
      <c r="D1324" s="12" t="inlineStr">
        <is>
          <t>Cap Throws that work:</t>
        </is>
      </c>
      <c r="E1324" s="34" t="inlineStr">
        <is>
          <t>Neutral Throw</t>
        </is>
      </c>
      <c r="F1324" s="34" t="n"/>
      <c r="G1324" s="34" t="n"/>
      <c r="H1324" s="34" t="n"/>
      <c r="I1324" s="34" t="n"/>
      <c r="J1324" s="16" t="n"/>
    </row>
    <row r="1325">
      <c r="A1325" s="43" t="n"/>
      <c r="B1325" s="44" t="n"/>
      <c r="C1325" s="43" t="n"/>
      <c r="D1325" s="19" t="inlineStr">
        <is>
          <t>Other Required:</t>
        </is>
      </c>
      <c r="E1325" s="35" t="n"/>
      <c r="F1325" s="35" t="n"/>
      <c r="G1325" s="35" t="n"/>
      <c r="H1325" s="35" t="n"/>
      <c r="I1325" s="35" t="n"/>
      <c r="J1325" s="16" t="n"/>
    </row>
    <row r="1326">
      <c r="A1326" s="41" t="b">
        <v>1</v>
      </c>
      <c r="B1326" s="31" t="inlineStr">
        <is>
          <t>Underwater Tunnel: Looking Back in the Dark Waterway</t>
        </is>
      </c>
      <c r="C1326" s="35" t="n"/>
      <c r="D1326" s="12" t="inlineStr">
        <is>
          <t>Minimum Jump Height:</t>
        </is>
      </c>
      <c r="E1326" s="34" t="inlineStr">
        <is>
          <t>Long Jump</t>
        </is>
      </c>
      <c r="F1326" s="34" t="n"/>
      <c r="G1326" s="34" t="n"/>
      <c r="H1326" s="34" t="n"/>
      <c r="I1326" s="34" t="n"/>
      <c r="J1326" s="16" t="n"/>
    </row>
    <row r="1327">
      <c r="B1327" s="42" t="n"/>
      <c r="D1327" s="12" t="inlineStr">
        <is>
          <t>Cap Throws that work:</t>
        </is>
      </c>
      <c r="E1327" s="34" t="inlineStr">
        <is>
          <t>No Cap Throw Needed</t>
        </is>
      </c>
      <c r="F1327" s="34" t="n"/>
      <c r="G1327" s="34" t="n"/>
      <c r="H1327" s="34" t="n"/>
      <c r="I1327" s="34" t="n"/>
      <c r="J1327" s="16" t="n"/>
    </row>
    <row r="1328">
      <c r="A1328" s="43" t="n"/>
      <c r="B1328" s="44" t="n"/>
      <c r="C1328" s="43" t="n"/>
      <c r="D1328" s="19" t="inlineStr">
        <is>
          <t>Other Required:</t>
        </is>
      </c>
      <c r="E1328" s="35" t="inlineStr">
        <is>
          <t>None</t>
        </is>
      </c>
      <c r="F1328" s="35" t="n"/>
      <c r="G1328" s="35" t="n"/>
      <c r="H1328" s="35" t="n"/>
      <c r="I1328" s="35" t="n"/>
      <c r="J1328" s="16" t="n"/>
    </row>
    <row r="1329">
      <c r="A1329" s="41" t="b">
        <v>1</v>
      </c>
      <c r="B1329" s="31" t="inlineStr">
        <is>
          <t>Sphynx Treasure Vault: The Sphynx's Underwater Vault</t>
        </is>
      </c>
      <c r="C1329" s="35" t="n"/>
      <c r="D1329" s="12" t="inlineStr">
        <is>
          <t>Minimum Jump Height:</t>
        </is>
      </c>
      <c r="E1329" s="34" t="inlineStr">
        <is>
          <t>No Jump Needed</t>
        </is>
      </c>
      <c r="F1329" s="34" t="n"/>
      <c r="G1329" s="34" t="n"/>
      <c r="H1329" s="34" t="n"/>
      <c r="I1329" s="34" t="n"/>
      <c r="J1329" s="16" t="n"/>
    </row>
    <row r="1330">
      <c r="B1330" s="42" t="n"/>
      <c r="D1330" s="12" t="inlineStr">
        <is>
          <t>Cap Throws that work:</t>
        </is>
      </c>
      <c r="E1330" s="34" t="inlineStr">
        <is>
          <t>No Cap Throw Needed</t>
        </is>
      </c>
      <c r="F1330" s="34" t="n"/>
      <c r="G1330" s="34" t="n"/>
      <c r="H1330" s="34" t="n"/>
      <c r="I1330" s="34" t="n"/>
      <c r="J1330" s="16" t="n"/>
    </row>
    <row r="1331">
      <c r="A1331" s="43" t="n"/>
      <c r="B1331" s="44" t="n"/>
      <c r="C1331" s="43" t="n"/>
      <c r="D1331" s="19" t="inlineStr">
        <is>
          <t>Other Required:</t>
        </is>
      </c>
      <c r="E1331" s="35" t="inlineStr">
        <is>
          <t>None</t>
        </is>
      </c>
      <c r="F1331" s="35" t="n"/>
      <c r="G1331" s="35" t="n"/>
      <c r="H1331" s="35" t="n"/>
      <c r="I1331" s="35" t="n"/>
      <c r="J1331" s="16" t="n"/>
    </row>
    <row r="1332">
      <c r="A1332" s="41" t="b">
        <v>1</v>
      </c>
      <c r="B1332" s="31" t="inlineStr">
        <is>
          <t>Rumbling Floor Cave: A Rumble on the Seaside Floor</t>
        </is>
      </c>
      <c r="C1332" s="35" t="n"/>
      <c r="D1332" s="12" t="inlineStr">
        <is>
          <t>Minimum Jump Height:</t>
        </is>
      </c>
      <c r="E1332" s="34" t="inlineStr">
        <is>
          <t>Single Jump (258)</t>
        </is>
      </c>
      <c r="F1332" s="34" t="inlineStr">
        <is>
          <t>Long Jump</t>
        </is>
      </c>
      <c r="G1332" s="34" t="n"/>
      <c r="H1332" s="34" t="n"/>
      <c r="I1332" s="34" t="n"/>
      <c r="J1332" s="16" t="n"/>
    </row>
    <row r="1333">
      <c r="B1333" s="42" t="n"/>
      <c r="D1333" s="12" t="inlineStr">
        <is>
          <t>Cap Throws that work:</t>
        </is>
      </c>
      <c r="E1333" s="34" t="inlineStr">
        <is>
          <t>No Cap Throw Needed</t>
        </is>
      </c>
      <c r="F1333" s="34" t="inlineStr">
        <is>
          <t>Spin Throw, Down Throw, Up Throw, Neutral Throw</t>
        </is>
      </c>
      <c r="G1333" s="34" t="n"/>
      <c r="H1333" s="34" t="n"/>
      <c r="I1333" s="34" t="n"/>
      <c r="J1333" s="16" t="n"/>
    </row>
    <row r="1334">
      <c r="A1334" s="43" t="n"/>
      <c r="B1334" s="44" t="n"/>
      <c r="C1334" s="43" t="n"/>
      <c r="D1334" s="19" t="inlineStr">
        <is>
          <t>Other Required:</t>
        </is>
      </c>
      <c r="E1334" s="35" t="inlineStr">
        <is>
          <t>Ground Pound</t>
        </is>
      </c>
      <c r="F1334" s="35" t="inlineStr">
        <is>
          <t>Ground Pound</t>
        </is>
      </c>
      <c r="G1334" s="35" t="n"/>
      <c r="H1334" s="35" t="n"/>
      <c r="I1334" s="35" t="n"/>
      <c r="J1334" s="16" t="n"/>
    </row>
    <row r="1335">
      <c r="A1335" s="41" t="b">
        <v>1</v>
      </c>
      <c r="B1335" s="31" t="inlineStr">
        <is>
          <t>Costume Room: A Relaxing Dance</t>
        </is>
      </c>
      <c r="C1335" s="35" t="n"/>
      <c r="D1335" s="12" t="inlineStr">
        <is>
          <t>Minimum Jump Height:</t>
        </is>
      </c>
      <c r="E1335" s="34" t="inlineStr">
        <is>
          <t>Long Jump</t>
        </is>
      </c>
      <c r="F1335" s="34" t="n"/>
      <c r="G1335" s="34" t="n"/>
      <c r="H1335" s="34" t="n"/>
      <c r="I1335" s="34" t="n"/>
      <c r="J1335" s="16" t="n"/>
    </row>
    <row r="1336">
      <c r="B1336" s="42" t="n"/>
      <c r="D1336" s="12" t="inlineStr">
        <is>
          <t>Cap Throws that work:</t>
        </is>
      </c>
      <c r="E1336" s="34" t="n"/>
      <c r="F1336" s="34" t="n"/>
      <c r="G1336" s="34" t="n"/>
      <c r="H1336" s="34" t="n"/>
      <c r="I1336" s="34" t="n"/>
      <c r="J1336" s="16" t="n"/>
    </row>
    <row r="1337">
      <c r="A1337" s="43" t="n"/>
      <c r="B1337" s="44" t="n"/>
      <c r="C1337" s="43" t="n"/>
      <c r="D1337" s="19" t="inlineStr">
        <is>
          <t>Other Required:</t>
        </is>
      </c>
      <c r="E1337" s="35" t="n"/>
      <c r="F1337" s="35" t="n"/>
      <c r="G1337" s="35" t="n"/>
      <c r="H1337" s="35" t="n"/>
      <c r="I1337" s="35" t="n"/>
      <c r="J1337" s="16" t="n"/>
    </row>
    <row r="1338">
      <c r="A1338" s="41" t="b">
        <v>1</v>
      </c>
      <c r="B1338" s="31" t="inlineStr">
        <is>
          <t>A Sea of Clouds: Wading in the Cloud Sea</t>
        </is>
      </c>
      <c r="C1338" s="35" t="n"/>
      <c r="D1338" s="12" t="inlineStr">
        <is>
          <t>Minimum Jump Height:</t>
        </is>
      </c>
      <c r="E1338" s="34" t="inlineStr">
        <is>
          <t>Single Jump (258)</t>
        </is>
      </c>
      <c r="F1338" s="34" t="n"/>
      <c r="G1338" s="34" t="n"/>
      <c r="H1338" s="34" t="n"/>
      <c r="I1338" s="34" t="n"/>
      <c r="J1338" s="16" t="n"/>
    </row>
    <row r="1339">
      <c r="B1339" s="42" t="n"/>
      <c r="D1339" s="12" t="inlineStr">
        <is>
          <t>Cap Throws that work:</t>
        </is>
      </c>
      <c r="E1339" s="34" t="inlineStr">
        <is>
          <t>No Cap Throw Needed</t>
        </is>
      </c>
      <c r="F1339" s="34" t="n"/>
      <c r="G1339" s="34" t="n"/>
      <c r="H1339" s="34" t="n"/>
      <c r="I1339" s="34" t="n"/>
      <c r="J1339" s="16" t="n"/>
    </row>
    <row r="1340">
      <c r="A1340" s="43" t="n"/>
      <c r="B1340" s="44" t="n"/>
      <c r="C1340" s="43" t="n"/>
      <c r="D1340" s="19" t="inlineStr">
        <is>
          <t>Other Required:</t>
        </is>
      </c>
      <c r="E1340" s="35" t="n"/>
      <c r="F1340" s="35" t="n"/>
      <c r="G1340" s="35" t="n"/>
      <c r="H1340" s="35" t="n"/>
      <c r="I1340" s="35" t="n"/>
      <c r="J1340" s="16" t="n"/>
    </row>
    <row r="1341">
      <c r="A1341" s="41" t="b">
        <v>1</v>
      </c>
      <c r="B1341" s="31" t="inlineStr">
        <is>
          <t>A Sea of Clouds: Sunken Treasure in the Cloud Sea</t>
        </is>
      </c>
      <c r="C1341" s="35" t="n"/>
      <c r="D1341" s="12" t="inlineStr">
        <is>
          <t>Minimum Jump Height:</t>
        </is>
      </c>
      <c r="E1341" s="34" t="inlineStr">
        <is>
          <t>Single Jump (258)</t>
        </is>
      </c>
      <c r="F1341" s="34" t="n"/>
      <c r="G1341" s="34" t="n"/>
      <c r="H1341" s="34" t="n"/>
      <c r="I1341" s="34" t="n"/>
      <c r="J1341" s="16" t="n"/>
    </row>
    <row r="1342">
      <c r="B1342" s="42" t="n"/>
      <c r="D1342" s="12" t="inlineStr">
        <is>
          <t>Cap Throws that work:</t>
        </is>
      </c>
      <c r="E1342" s="34" t="inlineStr">
        <is>
          <t>No Cap Throw Needed</t>
        </is>
      </c>
      <c r="F1342" s="34" t="n"/>
      <c r="G1342" s="34" t="n"/>
      <c r="H1342" s="34" t="n"/>
      <c r="I1342" s="34" t="n"/>
      <c r="J1342" s="16" t="n"/>
    </row>
    <row r="1343">
      <c r="A1343" s="43" t="n"/>
      <c r="B1343" s="44" t="n"/>
      <c r="C1343" s="43" t="n"/>
      <c r="D1343" s="19" t="inlineStr">
        <is>
          <t>Other Required:</t>
        </is>
      </c>
      <c r="E1343" s="35" t="n"/>
      <c r="F1343" s="35" t="n"/>
      <c r="G1343" s="35" t="n"/>
      <c r="H1343" s="35" t="n"/>
      <c r="I1343" s="35" t="n"/>
      <c r="J1343" s="16" t="n"/>
    </row>
    <row r="1344">
      <c r="A1344" s="41" t="b">
        <v>1</v>
      </c>
      <c r="B1344" s="31" t="inlineStr">
        <is>
          <t>Flying Through the Narrow Valley: Fly Through the Narrow Valley</t>
        </is>
      </c>
      <c r="C1344" s="35" t="inlineStr">
        <is>
          <t>Gushen</t>
        </is>
      </c>
      <c r="D1344" s="12" t="inlineStr">
        <is>
          <t>Minimum Jump Height:</t>
        </is>
      </c>
      <c r="E1344" s="34" t="inlineStr">
        <is>
          <t>No Jump Needed</t>
        </is>
      </c>
      <c r="F1344" s="34" t="n"/>
      <c r="G1344" s="34" t="n"/>
      <c r="H1344" s="34" t="n"/>
      <c r="I1344" s="34" t="n"/>
      <c r="J1344" s="16" t="n"/>
    </row>
    <row r="1345">
      <c r="B1345" s="42" t="n"/>
      <c r="D1345" s="12" t="inlineStr">
        <is>
          <t>Cap Throws that work:</t>
        </is>
      </c>
      <c r="E1345" s="34" t="inlineStr">
        <is>
          <t>No Cap Throw Needed</t>
        </is>
      </c>
      <c r="F1345" s="34" t="n"/>
      <c r="G1345" s="34" t="n"/>
      <c r="H1345" s="34" t="n"/>
      <c r="I1345" s="34" t="n"/>
      <c r="J1345" s="16" t="n"/>
    </row>
    <row r="1346">
      <c r="A1346" s="43" t="n"/>
      <c r="B1346" s="44" t="n"/>
      <c r="C1346" s="43" t="n"/>
      <c r="D1346" s="19" t="inlineStr">
        <is>
          <t>Other Required:</t>
        </is>
      </c>
      <c r="E1346" s="35" t="inlineStr">
        <is>
          <t>Capture</t>
        </is>
      </c>
      <c r="F1346" s="35" t="n"/>
      <c r="G1346" s="35" t="n"/>
      <c r="H1346" s="35" t="n"/>
      <c r="I1346" s="35" t="n"/>
      <c r="J1346" s="16" t="n"/>
    </row>
    <row r="1347">
      <c r="A1347" s="41" t="b">
        <v>1</v>
      </c>
      <c r="B1347" s="31" t="inlineStr">
        <is>
          <t>Flying Through the Narrow Valley: Treasure Chest in the Narrow Valley</t>
        </is>
      </c>
      <c r="C1347" s="35" t="inlineStr">
        <is>
          <t>Gushen</t>
        </is>
      </c>
      <c r="D1347" s="12" t="inlineStr">
        <is>
          <t>Minimum Jump Height:</t>
        </is>
      </c>
      <c r="E1347" s="34" t="inlineStr">
        <is>
          <t>No Jump Needed</t>
        </is>
      </c>
      <c r="F1347" s="34" t="n"/>
      <c r="G1347" s="34" t="n"/>
      <c r="H1347" s="34" t="n"/>
      <c r="I1347" s="34" t="n"/>
      <c r="J1347" s="16" t="n"/>
    </row>
    <row r="1348">
      <c r="B1348" s="42" t="n"/>
      <c r="D1348" s="12" t="inlineStr">
        <is>
          <t>Cap Throws that work:</t>
        </is>
      </c>
      <c r="E1348" s="34" t="inlineStr">
        <is>
          <t>No Cap Throw Needed</t>
        </is>
      </c>
      <c r="F1348" s="34" t="n"/>
      <c r="G1348" s="34" t="n"/>
      <c r="H1348" s="34" t="n"/>
      <c r="I1348" s="34" t="n"/>
      <c r="J1348" s="16" t="n"/>
    </row>
    <row r="1349">
      <c r="A1349" s="43" t="n"/>
      <c r="B1349" s="44" t="n"/>
      <c r="C1349" s="43" t="n"/>
      <c r="D1349" s="19" t="inlineStr">
        <is>
          <t>Other Required:</t>
        </is>
      </c>
      <c r="E1349" s="35" t="inlineStr">
        <is>
          <t>Capture</t>
        </is>
      </c>
      <c r="F1349" s="35" t="n"/>
      <c r="G1349" s="35" t="n"/>
      <c r="H1349" s="35" t="n"/>
      <c r="I1349" s="35" t="n"/>
      <c r="J1349" s="16" t="n"/>
    </row>
    <row r="1350">
      <c r="A1350" s="41" t="b">
        <v>1</v>
      </c>
      <c r="B1350" s="31" t="inlineStr">
        <is>
          <t>Stretching Up the Sinking Island: Hurry and Stretch</t>
        </is>
      </c>
      <c r="C1350" s="35" t="inlineStr">
        <is>
          <t>Uproot</t>
        </is>
      </c>
      <c r="D1350" s="12" t="inlineStr">
        <is>
          <t>Minimum Jump Height:</t>
        </is>
      </c>
      <c r="E1350" s="34" t="inlineStr">
        <is>
          <t>Backflip/Vault/Side Flip (496)</t>
        </is>
      </c>
      <c r="F1350" s="34" t="inlineStr">
        <is>
          <t>Backflip/Vault/Side Flip (496)</t>
        </is>
      </c>
      <c r="G1350" s="34" t="n"/>
      <c r="H1350" s="34" t="n"/>
      <c r="I1350" s="34" t="n"/>
      <c r="J1350" s="16" t="n"/>
    </row>
    <row r="1351">
      <c r="B1351" s="42" t="n"/>
      <c r="D1351" s="12" t="inlineStr">
        <is>
          <t>Cap Throws that work:</t>
        </is>
      </c>
      <c r="E1351" s="34" t="inlineStr">
        <is>
          <t>Neutral Throw</t>
        </is>
      </c>
      <c r="F1351" s="34" t="inlineStr">
        <is>
          <t>No Cap Throw Needed</t>
        </is>
      </c>
      <c r="G1351" s="34" t="n"/>
      <c r="H1351" s="34" t="n"/>
      <c r="I1351" s="34" t="n"/>
      <c r="J1351" s="16" t="n"/>
    </row>
    <row r="1352">
      <c r="A1352" s="43" t="n"/>
      <c r="B1352" s="44" t="n"/>
      <c r="C1352" s="43" t="n"/>
      <c r="D1352" s="19" t="inlineStr">
        <is>
          <t>Other Required:</t>
        </is>
      </c>
      <c r="E1352" s="35" t="inlineStr">
        <is>
          <t>Dive</t>
        </is>
      </c>
      <c r="F1352" s="35" t="inlineStr">
        <is>
          <t>Wall Slide, Dive</t>
        </is>
      </c>
      <c r="G1352" s="35" t="inlineStr">
        <is>
          <t>Capture</t>
        </is>
      </c>
      <c r="H1352" s="35" t="n"/>
      <c r="I1352" s="35" t="n"/>
      <c r="J1352" s="16" t="n"/>
    </row>
    <row r="1353">
      <c r="A1353" s="41" t="b">
        <v>1</v>
      </c>
      <c r="B1353" s="31" t="inlineStr">
        <is>
          <t>Stretching Up the Sinking Island: Stretch on the Side Path</t>
        </is>
      </c>
      <c r="C1353" s="35" t="inlineStr">
        <is>
          <t>Uproot</t>
        </is>
      </c>
      <c r="D1353" s="12" t="inlineStr">
        <is>
          <t>Minimum Jump Height:</t>
        </is>
      </c>
      <c r="E1353" s="34" t="inlineStr">
        <is>
          <t>Backflip/Vault/Side Flip (496)</t>
        </is>
      </c>
      <c r="F1353" s="34" t="inlineStr">
        <is>
          <t>Backflip/Vault/Side Flip (496)</t>
        </is>
      </c>
      <c r="G1353" s="34" t="n"/>
      <c r="H1353" s="34" t="n"/>
      <c r="I1353" s="34" t="n"/>
      <c r="J1353" s="16" t="n"/>
    </row>
    <row r="1354">
      <c r="B1354" s="42" t="n"/>
      <c r="D1354" s="12" t="inlineStr">
        <is>
          <t>Cap Throws that work:</t>
        </is>
      </c>
      <c r="E1354" s="34" t="inlineStr">
        <is>
          <t>Neutral Throw</t>
        </is>
      </c>
      <c r="F1354" s="34" t="inlineStr">
        <is>
          <t>No Cap Throw Needed</t>
        </is>
      </c>
      <c r="G1354" s="34" t="n"/>
      <c r="H1354" s="34" t="n"/>
      <c r="I1354" s="34" t="n"/>
      <c r="J1354" s="16" t="n"/>
    </row>
    <row r="1355">
      <c r="A1355" s="43" t="n"/>
      <c r="B1355" s="44" t="n"/>
      <c r="C1355" s="43" t="n"/>
      <c r="D1355" s="19" t="inlineStr">
        <is>
          <t>Other Required:</t>
        </is>
      </c>
      <c r="E1355" s="35" t="inlineStr">
        <is>
          <t>Dive</t>
        </is>
      </c>
      <c r="F1355" s="35" t="inlineStr">
        <is>
          <t>Wall Slide, Dive</t>
        </is>
      </c>
      <c r="G1355" s="35" t="inlineStr">
        <is>
          <t>Capture</t>
        </is>
      </c>
      <c r="H1355" s="35" t="n"/>
      <c r="I1355" s="35" t="n"/>
      <c r="J1355" s="16" t="n"/>
    </row>
    <row r="1356">
      <c r="A1356" s="41" t="b">
        <v>1</v>
      </c>
      <c r="B1356" s="31" t="inlineStr">
        <is>
          <t>Seaside Kingdom: Secret Path to Bubblaine!</t>
        </is>
      </c>
      <c r="C1356" s="35" t="n"/>
      <c r="D1356" s="12" t="inlineStr">
        <is>
          <t>Minimum Jump Height:</t>
        </is>
      </c>
      <c r="E1356" s="34" t="inlineStr">
        <is>
          <t>Long Jump</t>
        </is>
      </c>
      <c r="F1356" s="34" t="n"/>
      <c r="G1356" s="34" t="n"/>
      <c r="H1356" s="34" t="n"/>
      <c r="I1356" s="34" t="n"/>
      <c r="J1356" s="16" t="n"/>
    </row>
    <row r="1357">
      <c r="B1357" s="42" t="n"/>
      <c r="D1357" s="12" t="inlineStr">
        <is>
          <t>Cap Throws that work:</t>
        </is>
      </c>
      <c r="E1357" s="34" t="inlineStr">
        <is>
          <t>Neutral Throw, Up Throw, Down Throw, Spin Throw</t>
        </is>
      </c>
      <c r="F1357" s="34" t="n"/>
      <c r="G1357" s="34" t="n"/>
      <c r="H1357" s="34" t="n"/>
      <c r="I1357" s="34" t="n"/>
      <c r="J1357" s="16" t="n"/>
    </row>
    <row r="1358">
      <c r="A1358" s="43" t="n"/>
      <c r="B1358" s="44" t="n"/>
      <c r="C1358" s="43" t="n"/>
      <c r="D1358" s="19" t="inlineStr">
        <is>
          <t>Other Required:</t>
        </is>
      </c>
      <c r="E1358" s="35" t="n"/>
      <c r="F1358" s="35" t="n"/>
      <c r="G1358" s="35" t="n"/>
      <c r="H1358" s="35" t="n"/>
      <c r="I1358" s="35" t="n"/>
      <c r="J1358" s="16" t="n"/>
    </row>
    <row r="1359">
      <c r="A1359" s="41" t="b">
        <v>1</v>
      </c>
      <c r="B1359" s="31" t="inlineStr">
        <is>
          <t>Seaside Kingdom: Found with Seaside Kingdom Art</t>
        </is>
      </c>
      <c r="C1359" s="35" t="n"/>
      <c r="D1359" s="12" t="inlineStr">
        <is>
          <t>Minimum Jump Height:</t>
        </is>
      </c>
      <c r="E1359" s="34" t="inlineStr">
        <is>
          <t>Single Jump (258)</t>
        </is>
      </c>
      <c r="F1359" s="34" t="n"/>
      <c r="G1359" s="34" t="n"/>
      <c r="H1359" s="34" t="n"/>
      <c r="I1359" s="34" t="n"/>
      <c r="J1359" s="16" t="n"/>
    </row>
    <row r="1360">
      <c r="B1360" s="42" t="n"/>
      <c r="D1360" s="12" t="inlineStr">
        <is>
          <t>Cap Throws that work:</t>
        </is>
      </c>
      <c r="E1360" s="34" t="inlineStr">
        <is>
          <t>No Cap Throw Needed</t>
        </is>
      </c>
      <c r="F1360" s="34" t="n"/>
      <c r="G1360" s="34" t="n"/>
      <c r="H1360" s="34" t="n"/>
      <c r="I1360" s="34" t="n"/>
      <c r="J1360" s="16" t="n"/>
    </row>
    <row r="1361">
      <c r="A1361" s="43" t="n"/>
      <c r="B1361" s="44" t="n"/>
      <c r="C1361" s="43" t="n"/>
      <c r="D1361" s="19" t="inlineStr">
        <is>
          <t>Other Required:</t>
        </is>
      </c>
      <c r="E1361" s="35" t="inlineStr">
        <is>
          <t>, Ground Pound</t>
        </is>
      </c>
      <c r="F1361" s="35" t="n"/>
      <c r="G1361" s="35" t="n"/>
      <c r="H1361" s="35" t="n"/>
      <c r="I1361" s="35" t="n"/>
      <c r="J1361" s="16" t="n"/>
    </row>
    <row r="1362">
      <c r="A1362" s="41" t="b">
        <v>1</v>
      </c>
      <c r="B1362" s="31" t="inlineStr">
        <is>
          <t>Seaside Kingdom: Seaside Kingdom Regular Cup</t>
        </is>
      </c>
      <c r="C1362" s="35" t="inlineStr">
        <is>
          <t>Gushen</t>
        </is>
      </c>
      <c r="D1362" s="12" t="inlineStr">
        <is>
          <t>Minimum Jump Height:</t>
        </is>
      </c>
      <c r="E1362" s="34" t="inlineStr">
        <is>
          <t>Single Jump (258)</t>
        </is>
      </c>
      <c r="F1362" s="34" t="inlineStr">
        <is>
          <t>No Jump Needed</t>
        </is>
      </c>
      <c r="G1362" s="34" t="n"/>
      <c r="H1362" s="34" t="n"/>
      <c r="I1362" s="34" t="n"/>
      <c r="J1362" s="16" t="n"/>
    </row>
    <row r="1363">
      <c r="B1363" s="42" t="n"/>
      <c r="D1363" s="12" t="inlineStr">
        <is>
          <t>Cap Throws that work:</t>
        </is>
      </c>
      <c r="E1363" s="34" t="inlineStr">
        <is>
          <t>Neutral Throw, Down Throw, Spin Throw</t>
        </is>
      </c>
      <c r="F1363" s="34" t="inlineStr">
        <is>
          <t>Neutral Throw, Up Throw, Down Throw, Spin Throw</t>
        </is>
      </c>
      <c r="G1363" s="34" t="n"/>
      <c r="H1363" s="34" t="n"/>
      <c r="I1363" s="34" t="n"/>
      <c r="J1363" s="16" t="n"/>
    </row>
    <row r="1364">
      <c r="A1364" s="43" t="n"/>
      <c r="B1364" s="44" t="n"/>
      <c r="C1364" s="43" t="n"/>
      <c r="D1364" s="19" t="inlineStr">
        <is>
          <t>Other Required:</t>
        </is>
      </c>
      <c r="E1364" s="35" t="inlineStr">
        <is>
          <t>None</t>
        </is>
      </c>
      <c r="F1364" s="35" t="inlineStr">
        <is>
          <t>Capture</t>
        </is>
      </c>
      <c r="G1364" s="35" t="n"/>
      <c r="H1364" s="35" t="n"/>
      <c r="I1364" s="35" t="n"/>
      <c r="J1364" s="16" t="n"/>
    </row>
    <row r="1365">
      <c r="A1365" s="41" t="b">
        <v>1</v>
      </c>
      <c r="B1365" s="31" t="inlineStr">
        <is>
          <t>Seaside Kingdom: Peach in the Seaside Kingdom</t>
        </is>
      </c>
      <c r="C1365" s="35" t="n"/>
      <c r="D1365" s="12" t="inlineStr">
        <is>
          <t>Minimum Jump Height:</t>
        </is>
      </c>
      <c r="E1365" s="34" t="inlineStr">
        <is>
          <t>Single Jump (258)</t>
        </is>
      </c>
      <c r="F1365" s="34" t="n"/>
      <c r="G1365" s="34" t="n"/>
      <c r="H1365" s="34" t="n"/>
      <c r="I1365" s="34" t="n"/>
      <c r="J1365" s="16" t="n"/>
    </row>
    <row r="1366">
      <c r="B1366" s="42" t="n"/>
      <c r="D1366" s="12" t="inlineStr">
        <is>
          <t>Cap Throws that work:</t>
        </is>
      </c>
      <c r="E1366" s="34" t="inlineStr">
        <is>
          <t>No Cap Throw Needed</t>
        </is>
      </c>
      <c r="F1366" s="34" t="n"/>
      <c r="G1366" s="34" t="n"/>
      <c r="H1366" s="34" t="n"/>
      <c r="I1366" s="34" t="n"/>
      <c r="J1366" s="16" t="n"/>
    </row>
    <row r="1367">
      <c r="A1367" s="43" t="n"/>
      <c r="B1367" s="44" t="n"/>
      <c r="C1367" s="43" t="n"/>
      <c r="D1367" s="19" t="inlineStr">
        <is>
          <t>Other Required:</t>
        </is>
      </c>
      <c r="E1367" s="35" t="n"/>
      <c r="F1367" s="35" t="n"/>
      <c r="G1367" s="35" t="n"/>
      <c r="H1367" s="35" t="n"/>
      <c r="I1367" s="35" t="n"/>
      <c r="J1367" s="16" t="n"/>
    </row>
    <row r="1368">
      <c r="A1368" s="41" t="b">
        <v>1</v>
      </c>
      <c r="B1368" s="31" t="inlineStr">
        <is>
          <t>Seaside Kingdom: Above the Parasol: Catch!</t>
        </is>
      </c>
      <c r="C1368" s="35" t="n"/>
      <c r="D1368" s="12" t="inlineStr">
        <is>
          <t>Minimum Jump Height:</t>
        </is>
      </c>
      <c r="E1368" s="34" t="inlineStr">
        <is>
          <t>Single Jump (258)</t>
        </is>
      </c>
      <c r="F1368" s="34" t="n"/>
      <c r="G1368" s="34" t="n"/>
      <c r="H1368" s="34" t="n"/>
      <c r="I1368" s="34" t="n"/>
      <c r="J1368" s="16" t="n"/>
    </row>
    <row r="1369">
      <c r="B1369" s="42" t="n"/>
      <c r="D1369" s="12" t="inlineStr">
        <is>
          <t>Cap Throws that work:</t>
        </is>
      </c>
      <c r="E1369" s="34" t="inlineStr">
        <is>
          <t>No Cap Throw Needed</t>
        </is>
      </c>
      <c r="F1369" s="34" t="n"/>
      <c r="G1369" s="34" t="n"/>
      <c r="H1369" s="34" t="n"/>
      <c r="I1369" s="34" t="n"/>
      <c r="J1369" s="16" t="n"/>
    </row>
    <row r="1370">
      <c r="A1370" s="43" t="n"/>
      <c r="B1370" s="44" t="n"/>
      <c r="C1370" s="43" t="n"/>
      <c r="D1370" s="19" t="inlineStr">
        <is>
          <t>Other Required:</t>
        </is>
      </c>
      <c r="E1370" s="35" t="inlineStr">
        <is>
          <t>None</t>
        </is>
      </c>
      <c r="F1370" s="35" t="n"/>
      <c r="G1370" s="35" t="n"/>
      <c r="H1370" s="35" t="n"/>
      <c r="I1370" s="35" t="n"/>
      <c r="J1370" s="16" t="n"/>
    </row>
    <row r="1371">
      <c r="A1371" s="41" t="b">
        <v>1</v>
      </c>
      <c r="B1371" s="31" t="inlineStr">
        <is>
          <t>Seaside Kingdom: What Shines Inside the Glass</t>
        </is>
      </c>
      <c r="C1371" s="35" t="n"/>
      <c r="D1371" s="12" t="inlineStr">
        <is>
          <t>Minimum Jump Height:</t>
        </is>
      </c>
      <c r="E1371" s="34" t="inlineStr">
        <is>
          <t>Single Jump (258)</t>
        </is>
      </c>
      <c r="F1371" s="34" t="n"/>
      <c r="G1371" s="34" t="n"/>
      <c r="H1371" s="34" t="n"/>
      <c r="I1371" s="34" t="n"/>
      <c r="J1371" s="16" t="n"/>
    </row>
    <row r="1372">
      <c r="B1372" s="42" t="n"/>
      <c r="D1372" s="12" t="inlineStr">
        <is>
          <t>Cap Throws that work:</t>
        </is>
      </c>
      <c r="E1372" s="34" t="inlineStr">
        <is>
          <t>No Cap Throw Needed</t>
        </is>
      </c>
      <c r="F1372" s="34" t="n"/>
      <c r="G1372" s="34" t="n"/>
      <c r="H1372" s="34" t="n"/>
      <c r="I1372" s="34" t="n"/>
      <c r="J1372" s="16" t="n"/>
    </row>
    <row r="1373">
      <c r="A1373" s="43" t="n"/>
      <c r="B1373" s="44" t="n"/>
      <c r="C1373" s="43" t="n"/>
      <c r="D1373" s="19" t="inlineStr">
        <is>
          <t>Other Required:</t>
        </is>
      </c>
      <c r="E1373" s="35" t="inlineStr">
        <is>
          <t>None</t>
        </is>
      </c>
      <c r="F1373" s="35" t="n"/>
      <c r="G1373" s="35" t="n"/>
      <c r="H1373" s="35" t="n"/>
      <c r="I1373" s="35" t="n"/>
      <c r="J1373" s="16" t="n"/>
    </row>
    <row r="1374">
      <c r="A1374" s="41" t="b">
        <v>1</v>
      </c>
      <c r="B1374" s="31" t="inlineStr">
        <is>
          <t>Seaside Kingdom: A Fine Detail on the Glass</t>
        </is>
      </c>
      <c r="C1374" s="35" t="inlineStr">
        <is>
          <t>Gushen</t>
        </is>
      </c>
      <c r="D1374" s="12" t="inlineStr">
        <is>
          <t>Minimum Jump Height:</t>
        </is>
      </c>
      <c r="E1374" s="34" t="inlineStr">
        <is>
          <t>Single Jump (258)</t>
        </is>
      </c>
      <c r="F1374" s="34" t="inlineStr">
        <is>
          <t>No Jump Needed</t>
        </is>
      </c>
      <c r="G1374" s="34" t="n"/>
      <c r="H1374" s="34" t="n"/>
      <c r="I1374" s="34" t="n"/>
      <c r="J1374" s="16" t="n"/>
    </row>
    <row r="1375">
      <c r="B1375" s="42" t="n"/>
      <c r="D1375" s="12" t="inlineStr">
        <is>
          <t>Cap Throws that work:</t>
        </is>
      </c>
      <c r="E1375" s="34" t="inlineStr">
        <is>
          <t>No Cap Throw Needed</t>
        </is>
      </c>
      <c r="F1375" s="34" t="inlineStr">
        <is>
          <t>Neutral Throw, Up Throw, Down Throw, Spin Throw</t>
        </is>
      </c>
      <c r="G1375" s="34" t="n"/>
      <c r="H1375" s="34" t="n"/>
      <c r="I1375" s="34" t="n"/>
      <c r="J1375" s="16" t="n"/>
    </row>
    <row r="1376">
      <c r="A1376" s="43" t="n"/>
      <c r="B1376" s="44" t="n"/>
      <c r="C1376" s="43" t="n"/>
      <c r="D1376" s="19" t="inlineStr">
        <is>
          <t>Other Required:</t>
        </is>
      </c>
      <c r="E1376" s="35" t="n"/>
      <c r="F1376" s="35" t="inlineStr">
        <is>
          <t>Capture</t>
        </is>
      </c>
      <c r="G1376" s="35" t="n"/>
      <c r="H1376" s="35" t="n"/>
      <c r="I1376" s="35" t="n"/>
      <c r="J1376" s="16" t="n"/>
    </row>
    <row r="1377">
      <c r="A1377" s="41" t="b">
        <v>1</v>
      </c>
      <c r="B1377" s="31" t="inlineStr">
        <is>
          <t>Seaside Kingdom: Underwater Highway West: Explore!</t>
        </is>
      </c>
      <c r="C1377" s="35" t="n"/>
      <c r="D1377" s="12" t="inlineStr">
        <is>
          <t>Minimum Jump Height:</t>
        </is>
      </c>
      <c r="E1377" s="34" t="inlineStr">
        <is>
          <t>No Jump Needed</t>
        </is>
      </c>
      <c r="F1377" s="34" t="n"/>
      <c r="G1377" s="34" t="n"/>
      <c r="H1377" s="34" t="n"/>
      <c r="I1377" s="34" t="n"/>
      <c r="J1377" s="16" t="n"/>
    </row>
    <row r="1378">
      <c r="B1378" s="42" t="n"/>
      <c r="D1378" s="12" t="inlineStr">
        <is>
          <t>Cap Throws that work:</t>
        </is>
      </c>
      <c r="E1378" s="34" t="inlineStr">
        <is>
          <t>No Cap Throw Needed</t>
        </is>
      </c>
      <c r="F1378" s="34" t="n"/>
      <c r="G1378" s="34" t="n"/>
      <c r="H1378" s="34" t="n"/>
      <c r="I1378" s="34" t="n"/>
      <c r="J1378" s="16" t="n"/>
    </row>
    <row r="1379">
      <c r="A1379" s="43" t="n"/>
      <c r="B1379" s="44" t="n"/>
      <c r="C1379" s="43" t="n"/>
      <c r="D1379" s="19" t="inlineStr">
        <is>
          <t>Other Required:</t>
        </is>
      </c>
      <c r="E1379" s="35" t="inlineStr">
        <is>
          <t>None</t>
        </is>
      </c>
      <c r="F1379" s="35" t="n"/>
      <c r="G1379" s="35" t="n"/>
      <c r="H1379" s="35" t="n"/>
      <c r="I1379" s="35" t="n"/>
      <c r="J1379" s="16" t="n"/>
    </row>
    <row r="1380">
      <c r="A1380" s="41" t="b">
        <v>1</v>
      </c>
      <c r="B1380" s="31" t="inlineStr">
        <is>
          <t>Seaside Kingdom: Underwater Highway East: Explore!</t>
        </is>
      </c>
      <c r="C1380" s="35" t="n"/>
      <c r="D1380" s="12" t="inlineStr">
        <is>
          <t>Minimum Jump Height:</t>
        </is>
      </c>
      <c r="E1380" s="34" t="inlineStr">
        <is>
          <t>No Jump Needed</t>
        </is>
      </c>
      <c r="F1380" s="34" t="n"/>
      <c r="G1380" s="34" t="n"/>
      <c r="H1380" s="34" t="n"/>
      <c r="I1380" s="34" t="n"/>
      <c r="J1380" s="16" t="n"/>
    </row>
    <row r="1381">
      <c r="B1381" s="42" t="n"/>
      <c r="D1381" s="12" t="inlineStr">
        <is>
          <t>Cap Throws that work:</t>
        </is>
      </c>
      <c r="E1381" s="34" t="inlineStr">
        <is>
          <t>No Cap Throw Needed</t>
        </is>
      </c>
      <c r="F1381" s="34" t="n"/>
      <c r="G1381" s="34" t="n"/>
      <c r="H1381" s="34" t="n"/>
      <c r="I1381" s="34" t="n"/>
      <c r="J1381" s="16" t="n"/>
    </row>
    <row r="1382">
      <c r="A1382" s="43" t="n"/>
      <c r="B1382" s="44" t="n"/>
      <c r="C1382" s="43" t="n"/>
      <c r="D1382" s="19" t="inlineStr">
        <is>
          <t>Other Required:</t>
        </is>
      </c>
      <c r="E1382" s="35" t="inlineStr">
        <is>
          <t>None</t>
        </is>
      </c>
      <c r="F1382" s="35" t="n"/>
      <c r="G1382" s="35" t="n"/>
      <c r="H1382" s="35" t="n"/>
      <c r="I1382" s="35" t="n"/>
      <c r="J1382" s="16" t="n"/>
    </row>
    <row r="1383">
      <c r="A1383" s="41" t="b">
        <v>1</v>
      </c>
      <c r="B1383" s="31" t="inlineStr">
        <is>
          <t>Seaside Kingdom: Rapid Ascent on Hot Spring Island</t>
        </is>
      </c>
      <c r="C1383" s="35" t="inlineStr">
        <is>
          <t>Gushen</t>
        </is>
      </c>
      <c r="D1383" s="12" t="inlineStr">
        <is>
          <t>Minimum Jump Height:</t>
        </is>
      </c>
      <c r="E1383" s="34" t="inlineStr">
        <is>
          <t>No Jump Needed</t>
        </is>
      </c>
      <c r="F1383" s="34" t="n"/>
      <c r="G1383" s="34" t="n"/>
      <c r="H1383" s="34" t="n"/>
      <c r="I1383" s="34" t="n"/>
      <c r="J1383" s="16" t="n"/>
    </row>
    <row r="1384">
      <c r="B1384" s="42" t="n"/>
      <c r="D1384" s="12" t="inlineStr">
        <is>
          <t>Cap Throws that work:</t>
        </is>
      </c>
      <c r="E1384" s="34" t="inlineStr">
        <is>
          <t>No Cap Throw Needed</t>
        </is>
      </c>
      <c r="F1384" s="34" t="n"/>
      <c r="G1384" s="34" t="n"/>
      <c r="H1384" s="34" t="n"/>
      <c r="I1384" s="34" t="n"/>
      <c r="J1384" s="16" t="n"/>
    </row>
    <row r="1385">
      <c r="A1385" s="43" t="n"/>
      <c r="B1385" s="44" t="n"/>
      <c r="C1385" s="43" t="n"/>
      <c r="D1385" s="19" t="inlineStr">
        <is>
          <t>Other Required:</t>
        </is>
      </c>
      <c r="E1385" s="35" t="inlineStr">
        <is>
          <t>Capture</t>
        </is>
      </c>
      <c r="F1385" s="35" t="n"/>
      <c r="G1385" s="35" t="n"/>
      <c r="H1385" s="35" t="n"/>
      <c r="I1385" s="35" t="n"/>
      <c r="J1385" s="16" t="n"/>
    </row>
    <row r="1386">
      <c r="A1386" s="41" t="b">
        <v>1</v>
      </c>
      <c r="B1386" s="31" t="inlineStr">
        <is>
          <t>Seaside Kingdom: A Light Next to the Lighthouse</t>
        </is>
      </c>
      <c r="C1386" s="35" t="inlineStr">
        <is>
          <t>Gushen</t>
        </is>
      </c>
      <c r="D1386" s="12" t="inlineStr">
        <is>
          <t>Minimum Jump Height:</t>
        </is>
      </c>
      <c r="E1386" s="34" t="inlineStr">
        <is>
          <t>Long Jump</t>
        </is>
      </c>
      <c r="F1386" s="34" t="inlineStr">
        <is>
          <t>No Jump Needed</t>
        </is>
      </c>
      <c r="G1386" s="34" t="n"/>
      <c r="H1386" s="34" t="n"/>
      <c r="I1386" s="34" t="n"/>
      <c r="J1386" s="16" t="n"/>
    </row>
    <row r="1387">
      <c r="B1387" s="42" t="n"/>
      <c r="D1387" s="12" t="inlineStr">
        <is>
          <t>Cap Throws that work:</t>
        </is>
      </c>
      <c r="E1387" s="34" t="inlineStr">
        <is>
          <t>Neutral Throw, Up Throw, Down Throw, Spin Throw</t>
        </is>
      </c>
      <c r="F1387" s="34" t="inlineStr">
        <is>
          <t>Neutral Throw, Up Throw, Down Throw, Spin Throw</t>
        </is>
      </c>
      <c r="G1387" s="34" t="n"/>
      <c r="H1387" s="34" t="n"/>
      <c r="I1387" s="34" t="n"/>
      <c r="J1387" s="16" t="n"/>
    </row>
    <row r="1388">
      <c r="A1388" s="43" t="n"/>
      <c r="B1388" s="44" t="n"/>
      <c r="C1388" s="43" t="n"/>
      <c r="D1388" s="19" t="inlineStr">
        <is>
          <t>Other Required:</t>
        </is>
      </c>
      <c r="E1388" s="35" t="inlineStr">
        <is>
          <t>Climb</t>
        </is>
      </c>
      <c r="F1388" s="35" t="inlineStr">
        <is>
          <t>Capture</t>
        </is>
      </c>
      <c r="G1388" s="35" t="n"/>
      <c r="H1388" s="35" t="n"/>
      <c r="I1388" s="35" t="n"/>
      <c r="J1388" s="16" t="n"/>
    </row>
    <row r="1389">
      <c r="A1389" s="41" t="b">
        <v>1</v>
      </c>
      <c r="B1389" s="31" t="inlineStr">
        <is>
          <t>Seaside Kingdom: The Tall Rock Shelf in the Deep Ocean</t>
        </is>
      </c>
      <c r="C1389" s="35" t="n"/>
      <c r="D1389" s="12" t="inlineStr">
        <is>
          <t>Minimum Jump Height:</t>
        </is>
      </c>
      <c r="E1389" s="34" t="inlineStr">
        <is>
          <t>No Jump Needed</t>
        </is>
      </c>
      <c r="F1389" s="34" t="n"/>
      <c r="G1389" s="34" t="n"/>
      <c r="H1389" s="34" t="n"/>
      <c r="I1389" s="34" t="n"/>
      <c r="J1389" s="16" t="n"/>
    </row>
    <row r="1390">
      <c r="B1390" s="42" t="n"/>
      <c r="D1390" s="12" t="inlineStr">
        <is>
          <t>Cap Throws that work:</t>
        </is>
      </c>
      <c r="E1390" s="34" t="inlineStr">
        <is>
          <t>Neutral Throw, Up Throw, Down Throw, Spin Throw</t>
        </is>
      </c>
      <c r="F1390" s="34" t="n"/>
      <c r="G1390" s="34" t="n"/>
      <c r="H1390" s="34" t="n"/>
      <c r="I1390" s="34" t="n"/>
      <c r="J1390" s="16" t="n"/>
    </row>
    <row r="1391">
      <c r="A1391" s="43" t="n"/>
      <c r="B1391" s="44" t="n"/>
      <c r="C1391" s="43" t="n"/>
      <c r="D1391" s="19" t="inlineStr">
        <is>
          <t>Other Required:</t>
        </is>
      </c>
      <c r="E1391" s="35" t="inlineStr">
        <is>
          <t>None</t>
        </is>
      </c>
      <c r="F1391" s="35" t="n"/>
      <c r="G1391" s="35" t="n"/>
      <c r="H1391" s="35" t="n"/>
      <c r="I1391" s="35" t="n"/>
      <c r="J1391" s="16" t="n"/>
    </row>
    <row r="1392">
      <c r="A1392" s="41" t="b">
        <v>1</v>
      </c>
      <c r="B1392" s="31" t="inlineStr">
        <is>
          <t>Seaside Kingdom: At the Base of the Lighthouse</t>
        </is>
      </c>
      <c r="C1392" s="35" t="n"/>
      <c r="D1392" s="12" t="inlineStr">
        <is>
          <t>Minimum Jump Height:</t>
        </is>
      </c>
      <c r="E1392" s="34" t="inlineStr">
        <is>
          <t>No Jump Needed</t>
        </is>
      </c>
      <c r="F1392" s="34" t="n"/>
      <c r="G1392" s="34" t="n"/>
      <c r="H1392" s="34" t="n"/>
      <c r="I1392" s="34" t="n"/>
      <c r="J1392" s="16" t="n"/>
    </row>
    <row r="1393">
      <c r="B1393" s="42" t="n"/>
      <c r="D1393" s="12" t="inlineStr">
        <is>
          <t>Cap Throws that work:</t>
        </is>
      </c>
      <c r="E1393" s="34" t="inlineStr">
        <is>
          <t>No Cap Throw Needed</t>
        </is>
      </c>
      <c r="F1393" s="34" t="n"/>
      <c r="G1393" s="34" t="n"/>
      <c r="H1393" s="34" t="n"/>
      <c r="I1393" s="34" t="n"/>
      <c r="J1393" s="16" t="n"/>
    </row>
    <row r="1394">
      <c r="A1394" s="43" t="n"/>
      <c r="B1394" s="44" t="n"/>
      <c r="C1394" s="43" t="n"/>
      <c r="D1394" s="19" t="inlineStr">
        <is>
          <t>Other Required:</t>
        </is>
      </c>
      <c r="E1394" s="35" t="inlineStr">
        <is>
          <t>None, Ground Pound</t>
        </is>
      </c>
      <c r="F1394" s="35" t="n"/>
      <c r="G1394" s="35" t="n"/>
      <c r="H1394" s="35" t="n"/>
      <c r="I1394" s="35" t="n"/>
      <c r="J1394" s="16" t="n"/>
    </row>
    <row r="1395">
      <c r="A1395" s="41" t="b">
        <v>1</v>
      </c>
      <c r="B1395" s="31" t="inlineStr">
        <is>
          <t>Seaside Kingdom: Bird Traveling Over the Ocean</t>
        </is>
      </c>
      <c r="C1395" s="35" t="inlineStr">
        <is>
          <t>Gushen</t>
        </is>
      </c>
      <c r="D1395" s="12" t="inlineStr">
        <is>
          <t>Minimum Jump Height:</t>
        </is>
      </c>
      <c r="E1395" s="34" t="inlineStr">
        <is>
          <t>No Jump Needed</t>
        </is>
      </c>
      <c r="F1395" s="34" t="inlineStr">
        <is>
          <t>Single Jump (258)</t>
        </is>
      </c>
      <c r="G1395" s="34" t="n"/>
      <c r="H1395" s="34" t="n"/>
      <c r="I1395" s="34" t="n"/>
      <c r="J1395" s="16" t="n"/>
    </row>
    <row r="1396">
      <c r="B1396" s="42" t="n"/>
      <c r="D1396" s="12" t="inlineStr">
        <is>
          <t>Cap Throws that work:</t>
        </is>
      </c>
      <c r="E1396" s="34" t="inlineStr">
        <is>
          <t>Neutral Throw, Up Throw, Down Throw, Spin Throw</t>
        </is>
      </c>
      <c r="F1396" s="34" t="inlineStr">
        <is>
          <t>Up Throw, Neutral Throw</t>
        </is>
      </c>
      <c r="G1396" s="34" t="n"/>
      <c r="H1396" s="34" t="n"/>
      <c r="I1396" s="34" t="n"/>
      <c r="J1396" s="16" t="n"/>
    </row>
    <row r="1397">
      <c r="A1397" s="43" t="n"/>
      <c r="B1397" s="44" t="n"/>
      <c r="C1397" s="43" t="n"/>
      <c r="D1397" s="19" t="inlineStr">
        <is>
          <t>Other Required:</t>
        </is>
      </c>
      <c r="E1397" s="35" t="inlineStr">
        <is>
          <t>Capture</t>
        </is>
      </c>
      <c r="F1397" s="35" t="inlineStr">
        <is>
          <t>Dive</t>
        </is>
      </c>
      <c r="G1397" s="35" t="n"/>
      <c r="H1397" s="35" t="n"/>
      <c r="I1397" s="35" t="n"/>
      <c r="J1397" s="16" t="n"/>
    </row>
    <row r="1398">
      <c r="A1398" s="41" t="b">
        <v>1</v>
      </c>
      <c r="B1398" s="31" t="inlineStr">
        <is>
          <t>Seaside Kingdom: Caught Hopping at Glass Palace!</t>
        </is>
      </c>
      <c r="C1398" s="35" t="n"/>
      <c r="D1398" s="12" t="inlineStr">
        <is>
          <t>Minimum Jump Height:</t>
        </is>
      </c>
      <c r="E1398" s="34" t="inlineStr">
        <is>
          <t>Long Jump</t>
        </is>
      </c>
      <c r="F1398" s="34" t="inlineStr">
        <is>
          <t>No Jump Needed</t>
        </is>
      </c>
      <c r="G1398" s="34" t="n"/>
      <c r="H1398" s="34" t="n"/>
      <c r="I1398" s="34" t="n"/>
      <c r="J1398" s="16" t="n"/>
    </row>
    <row r="1399">
      <c r="B1399" s="42" t="n"/>
      <c r="D1399" s="12" t="inlineStr">
        <is>
          <t>Cap Throws that work:</t>
        </is>
      </c>
      <c r="E1399" s="34" t="inlineStr">
        <is>
          <t>No Cap Throw Needed</t>
        </is>
      </c>
      <c r="F1399" s="34" t="inlineStr">
        <is>
          <t>No Cap Throw Needed</t>
        </is>
      </c>
      <c r="G1399" s="34" t="n"/>
      <c r="H1399" s="34" t="n"/>
      <c r="I1399" s="34" t="n"/>
      <c r="J1399" s="16" t="n"/>
    </row>
    <row r="1400">
      <c r="A1400" s="43" t="n"/>
      <c r="B1400" s="44" t="n"/>
      <c r="C1400" s="43" t="n"/>
      <c r="D1400" s="19" t="inlineStr">
        <is>
          <t>Other Required:</t>
        </is>
      </c>
      <c r="E1400" s="35" t="inlineStr">
        <is>
          <t>None</t>
        </is>
      </c>
      <c r="F1400" s="35" t="inlineStr">
        <is>
          <t>Roll</t>
        </is>
      </c>
      <c r="G1400" s="35" t="n"/>
      <c r="H1400" s="35" t="n"/>
      <c r="I1400" s="35" t="n"/>
      <c r="J1400" s="16" t="n"/>
    </row>
    <row r="1401">
      <c r="A1401" s="41" t="b">
        <v>1</v>
      </c>
      <c r="B1401" s="31" t="inlineStr">
        <is>
          <t>Seaside Kingdom: Seaside Kingdom Timer Challenge 3</t>
        </is>
      </c>
      <c r="C1401" s="35" t="n"/>
      <c r="D1401" s="12" t="inlineStr">
        <is>
          <t>Minimum Jump Height:</t>
        </is>
      </c>
      <c r="E1401" s="34" t="inlineStr">
        <is>
          <t>No Jump Needed</t>
        </is>
      </c>
      <c r="F1401" s="34" t="n"/>
      <c r="G1401" s="34" t="n"/>
      <c r="H1401" s="34" t="n"/>
      <c r="I1401" s="34" t="n"/>
      <c r="J1401" s="16" t="n"/>
    </row>
    <row r="1402">
      <c r="B1402" s="42" t="n"/>
      <c r="D1402" s="12" t="inlineStr">
        <is>
          <t>Cap Throws that work:</t>
        </is>
      </c>
      <c r="E1402" s="34" t="inlineStr">
        <is>
          <t>Neutral Throw, Up Throw, Down Throw, Spin Throw</t>
        </is>
      </c>
      <c r="F1402" s="34" t="n"/>
      <c r="G1402" s="34" t="n"/>
      <c r="H1402" s="34" t="n"/>
      <c r="I1402" s="34" t="n"/>
      <c r="J1402" s="16" t="n"/>
    </row>
    <row r="1403">
      <c r="A1403" s="43" t="n"/>
      <c r="B1403" s="44" t="n"/>
      <c r="C1403" s="43" t="n"/>
      <c r="D1403" s="19" t="inlineStr">
        <is>
          <t>Other Required:</t>
        </is>
      </c>
      <c r="E1403" s="35" t="inlineStr">
        <is>
          <t>None</t>
        </is>
      </c>
      <c r="F1403" s="35" t="n"/>
      <c r="G1403" s="35" t="n"/>
      <c r="H1403" s="35" t="n"/>
      <c r="I1403" s="35" t="n"/>
      <c r="J1403" s="16" t="n"/>
    </row>
    <row r="1404">
      <c r="A1404" s="41" t="b">
        <v>1</v>
      </c>
      <c r="B1404" s="31" t="inlineStr">
        <is>
          <t>Seaside Kingdom: Taking Notes: Ocean-Bottom Maze</t>
        </is>
      </c>
      <c r="C1404" s="35" t="n"/>
      <c r="D1404" s="12" t="inlineStr">
        <is>
          <t>Minimum Jump Height:</t>
        </is>
      </c>
      <c r="E1404" s="34" t="inlineStr">
        <is>
          <t>Single Jump (258)</t>
        </is>
      </c>
      <c r="F1404" s="34" t="n"/>
      <c r="G1404" s="34" t="n"/>
      <c r="H1404" s="34" t="n"/>
      <c r="I1404" s="34" t="n"/>
      <c r="J1404" s="16" t="n"/>
    </row>
    <row r="1405">
      <c r="B1405" s="42" t="n"/>
      <c r="D1405" s="12" t="inlineStr">
        <is>
          <t>Cap Throws that work:</t>
        </is>
      </c>
      <c r="E1405" s="34" t="inlineStr">
        <is>
          <t>No Cap Throw Needed</t>
        </is>
      </c>
      <c r="F1405" s="34" t="n"/>
      <c r="G1405" s="34" t="n"/>
      <c r="H1405" s="34" t="n"/>
      <c r="I1405" s="34" t="n"/>
      <c r="J1405" s="16" t="n"/>
    </row>
    <row r="1406">
      <c r="A1406" s="43" t="n"/>
      <c r="B1406" s="44" t="n"/>
      <c r="C1406" s="43" t="n"/>
      <c r="D1406" s="19" t="inlineStr">
        <is>
          <t>Other Required:</t>
        </is>
      </c>
      <c r="E1406" s="35" t="inlineStr">
        <is>
          <t>None</t>
        </is>
      </c>
      <c r="F1406" s="35" t="n"/>
      <c r="G1406" s="35" t="n"/>
      <c r="H1406" s="35" t="n"/>
      <c r="I1406" s="35" t="n"/>
      <c r="J1406" s="16" t="n"/>
    </row>
    <row r="1407">
      <c r="A1407" s="41" t="b">
        <v>1</v>
      </c>
      <c r="B1407" s="31" t="inlineStr">
        <is>
          <t>Seaside Kingdom: Taking Notes in the Sea</t>
        </is>
      </c>
      <c r="C1407" s="35" t="inlineStr">
        <is>
          <t>Cheep Cheep</t>
        </is>
      </c>
      <c r="D1407" s="12" t="inlineStr">
        <is>
          <t>Minimum Jump Height:</t>
        </is>
      </c>
      <c r="E1407" s="34" t="inlineStr">
        <is>
          <t>No Jump Needed</t>
        </is>
      </c>
      <c r="F1407" s="34" t="n"/>
      <c r="G1407" s="34" t="n"/>
      <c r="H1407" s="34" t="n"/>
      <c r="I1407" s="34" t="n"/>
      <c r="J1407" s="16" t="n"/>
    </row>
    <row r="1408">
      <c r="B1408" s="42" t="n"/>
      <c r="D1408" s="12" t="inlineStr">
        <is>
          <t>Cap Throws that work:</t>
        </is>
      </c>
      <c r="E1408" s="34" t="inlineStr">
        <is>
          <t>Neutral Throw, Up Throw, Down Throw, Spin Throw</t>
        </is>
      </c>
      <c r="F1408" s="34" t="n"/>
      <c r="G1408" s="34" t="n"/>
      <c r="H1408" s="34" t="n"/>
      <c r="I1408" s="34" t="n"/>
      <c r="J1408" s="16" t="n"/>
    </row>
    <row r="1409">
      <c r="A1409" s="43" t="n"/>
      <c r="B1409" s="44" t="n"/>
      <c r="C1409" s="43" t="n"/>
      <c r="D1409" s="19" t="inlineStr">
        <is>
          <t>Other Required:</t>
        </is>
      </c>
      <c r="E1409" s="35" t="inlineStr">
        <is>
          <t>Capture</t>
        </is>
      </c>
      <c r="F1409" s="35" t="n"/>
      <c r="G1409" s="35" t="n"/>
      <c r="H1409" s="35" t="n"/>
      <c r="I1409" s="35" t="n"/>
      <c r="J1409" s="16" t="n"/>
    </row>
    <row r="1410">
      <c r="A1410" s="41" t="b">
        <v>1</v>
      </c>
      <c r="B1410" s="31" t="inlineStr">
        <is>
          <t>Seaside Kingdom: Seaside Kingdom Master Cup</t>
        </is>
      </c>
      <c r="C1410" s="35" t="inlineStr">
        <is>
          <t>Gushen</t>
        </is>
      </c>
      <c r="D1410" s="12" t="inlineStr">
        <is>
          <t>Minimum Jump Height:</t>
        </is>
      </c>
      <c r="E1410" s="34" t="inlineStr">
        <is>
          <t>Single Jump (258)</t>
        </is>
      </c>
      <c r="F1410" s="34" t="inlineStr">
        <is>
          <t>No Jump Needed</t>
        </is>
      </c>
      <c r="G1410" s="34" t="n"/>
      <c r="H1410" s="34" t="n"/>
      <c r="I1410" s="34" t="n"/>
      <c r="J1410" s="16" t="n"/>
    </row>
    <row r="1411">
      <c r="B1411" s="42" t="n"/>
      <c r="D1411" s="12" t="inlineStr">
        <is>
          <t>Cap Throws that work:</t>
        </is>
      </c>
      <c r="E1411" s="34" t="inlineStr">
        <is>
          <t>Neutral Throw, Down Throw, Spin Throw</t>
        </is>
      </c>
      <c r="F1411" s="34" t="inlineStr">
        <is>
          <t>Neutral Throw, Up Throw, Down Throw, Spin Throw</t>
        </is>
      </c>
      <c r="G1411" s="34" t="n"/>
      <c r="H1411" s="34" t="n"/>
      <c r="I1411" s="34" t="n"/>
      <c r="J1411" s="16" t="n"/>
    </row>
    <row r="1412">
      <c r="A1412" s="43" t="n"/>
      <c r="B1412" s="44" t="n"/>
      <c r="C1412" s="43" t="n"/>
      <c r="D1412" s="19" t="inlineStr">
        <is>
          <t>Other Required:</t>
        </is>
      </c>
      <c r="E1412" s="35" t="inlineStr">
        <is>
          <t>None</t>
        </is>
      </c>
      <c r="F1412" s="35" t="inlineStr">
        <is>
          <t>Capture</t>
        </is>
      </c>
      <c r="G1412" s="35" t="n"/>
      <c r="H1412" s="35" t="n"/>
      <c r="I1412" s="35" t="n"/>
      <c r="J1412" s="16" t="n"/>
    </row>
    <row r="1413">
      <c r="A1413" s="41" t="b">
        <v>1</v>
      </c>
      <c r="B1413" s="31" t="inlineStr">
        <is>
          <t>Stop, Poke, and Roll: Aim! Poke!</t>
        </is>
      </c>
      <c r="C1413" s="35" t="inlineStr">
        <is>
          <t>Pokio</t>
        </is>
      </c>
      <c r="D1413" s="12" t="inlineStr">
        <is>
          <t>Minimum Jump Height:</t>
        </is>
      </c>
      <c r="E1413" s="34" t="inlineStr">
        <is>
          <t>Single Jump (258)</t>
        </is>
      </c>
      <c r="F1413" s="34" t="n"/>
      <c r="G1413" s="34" t="n"/>
      <c r="H1413" s="34" t="n"/>
      <c r="I1413" s="34" t="n"/>
      <c r="J1413" s="16" t="n"/>
    </row>
    <row r="1414">
      <c r="B1414" s="42" t="n"/>
      <c r="D1414" s="12" t="inlineStr">
        <is>
          <t>Cap Throws that work:</t>
        </is>
      </c>
      <c r="E1414" s="34" t="inlineStr">
        <is>
          <t>Neutral Throw, Up Throw, Down Throw, Spin Throw</t>
        </is>
      </c>
      <c r="F1414" s="34" t="n"/>
      <c r="G1414" s="34" t="n"/>
      <c r="H1414" s="34" t="n"/>
      <c r="I1414" s="34" t="n"/>
      <c r="J1414" s="16" t="n"/>
    </row>
    <row r="1415">
      <c r="A1415" s="43" t="n"/>
      <c r="B1415" s="44" t="n"/>
      <c r="C1415" s="43" t="n"/>
      <c r="D1415" s="19" t="inlineStr">
        <is>
          <t>Other Required:</t>
        </is>
      </c>
      <c r="E1415" s="35" t="inlineStr">
        <is>
          <t>Capture</t>
        </is>
      </c>
      <c r="F1415" s="35" t="n"/>
      <c r="G1415" s="35" t="n"/>
      <c r="H1415" s="35" t="n"/>
      <c r="I1415" s="35" t="n"/>
      <c r="J1415" s="16" t="n"/>
    </row>
    <row r="1416">
      <c r="A1416" s="41" t="b">
        <v>1</v>
      </c>
      <c r="B1416" s="31" t="inlineStr">
        <is>
          <t>Stop, Poke, and Roll: Poke! Roll!</t>
        </is>
      </c>
      <c r="C1416" s="35" t="inlineStr">
        <is>
          <t>Pokio</t>
        </is>
      </c>
      <c r="D1416" s="12" t="inlineStr">
        <is>
          <t>Minimum Jump Height:</t>
        </is>
      </c>
      <c r="E1416" s="34" t="inlineStr">
        <is>
          <t>Single Jump (258)</t>
        </is>
      </c>
      <c r="F1416" s="34" t="n"/>
      <c r="G1416" s="34" t="n"/>
      <c r="H1416" s="34" t="n"/>
      <c r="I1416" s="34" t="n"/>
      <c r="J1416" s="16" t="n"/>
    </row>
    <row r="1417">
      <c r="B1417" s="42" t="n"/>
      <c r="D1417" s="12" t="inlineStr">
        <is>
          <t>Cap Throws that work:</t>
        </is>
      </c>
      <c r="E1417" s="34" t="inlineStr">
        <is>
          <t>Neutral Throw, Up Throw, Down Throw, Spin Throw</t>
        </is>
      </c>
      <c r="F1417" s="34" t="n"/>
      <c r="G1417" s="34" t="n"/>
      <c r="H1417" s="34" t="n"/>
      <c r="I1417" s="34" t="n"/>
      <c r="J1417" s="16" t="n"/>
    </row>
    <row r="1418">
      <c r="A1418" s="43" t="n"/>
      <c r="B1418" s="44" t="n"/>
      <c r="C1418" s="43" t="n"/>
      <c r="D1418" s="19" t="inlineStr">
        <is>
          <t>Other Required:</t>
        </is>
      </c>
      <c r="E1418" s="35" t="inlineStr">
        <is>
          <t>Capture</t>
        </is>
      </c>
      <c r="F1418" s="35" t="n"/>
      <c r="G1418" s="35" t="n"/>
      <c r="H1418" s="35" t="n"/>
      <c r="I1418" s="35" t="n"/>
      <c r="J1418" s="16" t="n"/>
    </row>
    <row r="1419">
      <c r="A1419" s="41" t="b">
        <v>1</v>
      </c>
      <c r="B1419" s="31" t="inlineStr">
        <is>
          <t>Spinning Maze: The Spinning Maze: Search!</t>
        </is>
      </c>
      <c r="C1419" s="35" t="n"/>
      <c r="D1419" s="12" t="inlineStr">
        <is>
          <t>Minimum Jump Height:</t>
        </is>
      </c>
      <c r="E1419" s="34" t="inlineStr">
        <is>
          <t>Long Jump</t>
        </is>
      </c>
      <c r="F1419" s="34" t="n"/>
      <c r="G1419" s="34" t="n"/>
      <c r="H1419" s="34" t="n"/>
      <c r="I1419" s="34" t="n"/>
      <c r="J1419" s="16" t="n"/>
    </row>
    <row r="1420">
      <c r="B1420" s="42" t="n"/>
      <c r="D1420" s="12" t="inlineStr">
        <is>
          <t>Cap Throws that work:</t>
        </is>
      </c>
      <c r="E1420" s="34" t="inlineStr">
        <is>
          <t>Down Throw, Spin Throw, Neutral Throw</t>
        </is>
      </c>
      <c r="F1420" s="34" t="n"/>
      <c r="G1420" s="34" t="n"/>
      <c r="H1420" s="34" t="n"/>
      <c r="I1420" s="34" t="n"/>
      <c r="J1420" s="16" t="n"/>
    </row>
    <row r="1421">
      <c r="A1421" s="43" t="n"/>
      <c r="B1421" s="44" t="n"/>
      <c r="C1421" s="43" t="n"/>
      <c r="D1421" s="19" t="inlineStr">
        <is>
          <t>Other Required:</t>
        </is>
      </c>
      <c r="E1421" s="35" t="inlineStr">
        <is>
          <t>None</t>
        </is>
      </c>
      <c r="F1421" s="35" t="n"/>
      <c r="G1421" s="35" t="n"/>
      <c r="H1421" s="35" t="n"/>
      <c r="I1421" s="35" t="n"/>
      <c r="J1421" s="16" t="n"/>
    </row>
    <row r="1422">
      <c r="A1422" s="41" t="b">
        <v>1</v>
      </c>
      <c r="B1422" s="31" t="inlineStr">
        <is>
          <t>Spinning Maze: The Spinning Maze: Open!</t>
        </is>
      </c>
      <c r="C1422" s="35" t="n"/>
      <c r="D1422" s="12" t="inlineStr">
        <is>
          <t>Minimum Jump Height:</t>
        </is>
      </c>
      <c r="E1422" s="34" t="inlineStr">
        <is>
          <t>Long Jump</t>
        </is>
      </c>
      <c r="F1422" s="34" t="n"/>
      <c r="G1422" s="34" t="n"/>
      <c r="H1422" s="34" t="n"/>
      <c r="I1422" s="34" t="n"/>
      <c r="J1422" s="16" t="n"/>
    </row>
    <row r="1423">
      <c r="B1423" s="42" t="n"/>
      <c r="D1423" s="12" t="inlineStr">
        <is>
          <t>Cap Throws that work:</t>
        </is>
      </c>
      <c r="E1423" s="34" t="inlineStr">
        <is>
          <t>Down Throw, Spin Throw, Neutral Throw</t>
        </is>
      </c>
      <c r="F1423" s="34" t="n"/>
      <c r="G1423" s="34" t="n"/>
      <c r="H1423" s="34" t="n"/>
      <c r="I1423" s="34" t="n"/>
      <c r="J1423" s="16" t="n"/>
    </row>
    <row r="1424">
      <c r="A1424" s="43" t="n"/>
      <c r="B1424" s="44" t="n"/>
      <c r="C1424" s="43" t="n"/>
      <c r="D1424" s="19" t="inlineStr">
        <is>
          <t>Other Required:</t>
        </is>
      </c>
      <c r="E1424" s="35" t="inlineStr">
        <is>
          <t>None</t>
        </is>
      </c>
      <c r="F1424" s="35" t="n"/>
      <c r="G1424" s="35" t="n"/>
      <c r="H1424" s="35" t="n"/>
      <c r="I1424" s="35" t="n"/>
      <c r="J1424" s="16" t="n"/>
    </row>
    <row r="1425">
      <c r="A1425" s="41" t="b">
        <v>1</v>
      </c>
      <c r="B1425" s="31" t="inlineStr">
        <is>
          <t>Shiveria Town: The Icicle Barrier</t>
        </is>
      </c>
      <c r="C1425" s="35" t="n"/>
      <c r="D1425" s="12" t="inlineStr">
        <is>
          <t>Minimum Jump Height:</t>
        </is>
      </c>
      <c r="E1425" s="34" t="inlineStr">
        <is>
          <t>Single Jump (258)</t>
        </is>
      </c>
      <c r="F1425" s="34" t="n"/>
      <c r="G1425" s="34" t="n"/>
      <c r="H1425" s="34" t="n"/>
      <c r="I1425" s="34" t="n"/>
      <c r="J1425" s="16" t="n"/>
    </row>
    <row r="1426">
      <c r="B1426" s="42" t="n"/>
      <c r="D1426" s="12" t="inlineStr">
        <is>
          <t>Cap Throws that work:</t>
        </is>
      </c>
      <c r="E1426" s="34" t="inlineStr">
        <is>
          <t>No Cap Throw Needed</t>
        </is>
      </c>
      <c r="F1426" s="34" t="n"/>
      <c r="G1426" s="34" t="n"/>
      <c r="H1426" s="34" t="n"/>
      <c r="I1426" s="34" t="n"/>
      <c r="J1426" s="16" t="n"/>
    </row>
    <row r="1427">
      <c r="A1427" s="43" t="n"/>
      <c r="B1427" s="44" t="n"/>
      <c r="C1427" s="43" t="n"/>
      <c r="D1427" s="19" t="inlineStr">
        <is>
          <t>Other Required:</t>
        </is>
      </c>
      <c r="E1427" s="35" t="inlineStr">
        <is>
          <t>None</t>
        </is>
      </c>
      <c r="F1427" s="35" t="n"/>
      <c r="G1427" s="35" t="n"/>
      <c r="H1427" s="35" t="n"/>
      <c r="I1427" s="35" t="n"/>
      <c r="J1427" s="16" t="n"/>
    </row>
    <row r="1428">
      <c r="A1428" s="41" t="b">
        <v>1</v>
      </c>
      <c r="B1428" s="31" t="inlineStr">
        <is>
          <t>Shiveria Town: The Ice Wall Barrier</t>
        </is>
      </c>
      <c r="C1428" s="35" t="n"/>
      <c r="D1428" s="12" t="inlineStr">
        <is>
          <t>Minimum Jump Height:</t>
        </is>
      </c>
      <c r="E1428" s="34" t="inlineStr">
        <is>
          <t>Long Jump</t>
        </is>
      </c>
      <c r="F1428" s="34" t="n"/>
      <c r="G1428" s="34" t="n"/>
      <c r="H1428" s="34" t="n"/>
      <c r="I1428" s="34" t="n"/>
      <c r="J1428" s="16" t="n"/>
    </row>
    <row r="1429">
      <c r="B1429" s="42" t="n"/>
      <c r="D1429" s="12" t="inlineStr">
        <is>
          <t>Cap Throws that work:</t>
        </is>
      </c>
      <c r="E1429" s="34" t="inlineStr">
        <is>
          <t>No Cap Throw Needed</t>
        </is>
      </c>
      <c r="F1429" s="34" t="n"/>
      <c r="G1429" s="34" t="n"/>
      <c r="H1429" s="34" t="n"/>
      <c r="I1429" s="34" t="n"/>
      <c r="J1429" s="16" t="n"/>
    </row>
    <row r="1430">
      <c r="A1430" s="43" t="n"/>
      <c r="B1430" s="44" t="n"/>
      <c r="C1430" s="43" t="n"/>
      <c r="D1430" s="19" t="inlineStr">
        <is>
          <t>Other Required:</t>
        </is>
      </c>
      <c r="E1430" s="35" t="inlineStr">
        <is>
          <t>None</t>
        </is>
      </c>
      <c r="F1430" s="35" t="n"/>
      <c r="G1430" s="35" t="n"/>
      <c r="H1430" s="35" t="n"/>
      <c r="I1430" s="35" t="n"/>
      <c r="J1430" s="16" t="n"/>
    </row>
    <row r="1431">
      <c r="A1431" s="41" t="b">
        <v>1</v>
      </c>
      <c r="B1431" s="31" t="inlineStr">
        <is>
          <t>Shiveria Town: The Gusty Barrier</t>
        </is>
      </c>
      <c r="C1431" s="35" t="inlineStr">
        <is>
          <t>Ty-Foo</t>
        </is>
      </c>
      <c r="D1431" s="12" t="inlineStr">
        <is>
          <t>Minimum Jump Height:</t>
        </is>
      </c>
      <c r="E1431" s="34" t="inlineStr">
        <is>
          <t>Triple Jump (550)</t>
        </is>
      </c>
      <c r="F1431" s="34" t="n"/>
      <c r="G1431" s="34" t="n"/>
      <c r="H1431" s="34" t="n"/>
      <c r="I1431" s="34" t="n"/>
      <c r="J1431" s="16" t="n"/>
    </row>
    <row r="1432">
      <c r="B1432" s="42" t="n"/>
      <c r="D1432" s="12" t="inlineStr">
        <is>
          <t>Cap Throws that work:</t>
        </is>
      </c>
      <c r="E1432" s="34" t="inlineStr">
        <is>
          <t>Neutral Throw, Up Throw, Down Throw, Spin Throw</t>
        </is>
      </c>
      <c r="F1432" s="34" t="n"/>
      <c r="G1432" s="34" t="n"/>
      <c r="H1432" s="34" t="n"/>
      <c r="I1432" s="34" t="n"/>
      <c r="J1432" s="16" t="n"/>
    </row>
    <row r="1433">
      <c r="A1433" s="43" t="n"/>
      <c r="B1433" s="44" t="n"/>
      <c r="C1433" s="43" t="n"/>
      <c r="D1433" s="19" t="inlineStr">
        <is>
          <t>Other Required:</t>
        </is>
      </c>
      <c r="E1433" s="35" t="inlineStr">
        <is>
          <t>Capture</t>
        </is>
      </c>
      <c r="F1433" s="35" t="n"/>
      <c r="G1433" s="35" t="n"/>
      <c r="H1433" s="35" t="n"/>
      <c r="I1433" s="35" t="n"/>
      <c r="J1433" s="16" t="n"/>
    </row>
    <row r="1434">
      <c r="A1434" s="41" t="b">
        <v>1</v>
      </c>
      <c r="B1434" s="31" t="inlineStr">
        <is>
          <t>Shiveria Town: The Snowy Mountain Barrier</t>
        </is>
      </c>
      <c r="C1434" s="35" t="n"/>
      <c r="D1434" s="12" t="inlineStr">
        <is>
          <t>Minimum Jump Height:</t>
        </is>
      </c>
      <c r="E1434" s="34" t="inlineStr">
        <is>
          <t>Long Jump</t>
        </is>
      </c>
      <c r="F1434" s="34" t="n"/>
      <c r="G1434" s="34" t="n"/>
      <c r="H1434" s="34" t="n"/>
      <c r="I1434" s="34" t="n"/>
      <c r="J1434" s="16" t="n"/>
    </row>
    <row r="1435">
      <c r="B1435" s="42" t="n"/>
      <c r="D1435" s="12" t="inlineStr">
        <is>
          <t>Cap Throws that work:</t>
        </is>
      </c>
      <c r="E1435" s="34" t="inlineStr">
        <is>
          <t>Neutral Throw, Up Throw, Down Throw, Spin Throw</t>
        </is>
      </c>
      <c r="F1435" s="34" t="n"/>
      <c r="G1435" s="34" t="n"/>
      <c r="H1435" s="34" t="n"/>
      <c r="I1435" s="34" t="n"/>
      <c r="J1435" s="16" t="n"/>
    </row>
    <row r="1436">
      <c r="A1436" s="43" t="n"/>
      <c r="B1436" s="44" t="n"/>
      <c r="C1436" s="43" t="n"/>
      <c r="D1436" s="19" t="inlineStr">
        <is>
          <t>Other Required:</t>
        </is>
      </c>
      <c r="E1436" s="35" t="inlineStr">
        <is>
          <t>None</t>
        </is>
      </c>
      <c r="F1436" s="35" t="n"/>
      <c r="G1436" s="35" t="n"/>
      <c r="H1436" s="35" t="n"/>
      <c r="I1436" s="35" t="n"/>
      <c r="J1436" s="16" t="n"/>
    </row>
    <row r="1437">
      <c r="A1437" s="41" t="b">
        <v>1</v>
      </c>
      <c r="B1437" s="31" t="inlineStr">
        <is>
          <t>Class A Race: The Bound Bowl Grand Prix</t>
        </is>
      </c>
      <c r="C1437" s="35" t="inlineStr">
        <is>
          <t>Shiverian Racer</t>
        </is>
      </c>
      <c r="D1437" s="12" t="inlineStr">
        <is>
          <t>Minimum Jump Height:</t>
        </is>
      </c>
      <c r="E1437" s="34" t="inlineStr">
        <is>
          <t>Single Jump (258)</t>
        </is>
      </c>
      <c r="F1437" s="34" t="n"/>
      <c r="G1437" s="34" t="n"/>
      <c r="H1437" s="34" t="n"/>
      <c r="I1437" s="34" t="n"/>
      <c r="J1437" s="16" t="n"/>
    </row>
    <row r="1438">
      <c r="B1438" s="42" t="n"/>
      <c r="D1438" s="12" t="inlineStr">
        <is>
          <t>Cap Throws that work:</t>
        </is>
      </c>
      <c r="E1438" s="34" t="inlineStr">
        <is>
          <t>Neutral Throw, Up Throw, Down Throw, Spin Throw</t>
        </is>
      </c>
      <c r="F1438" s="34" t="n"/>
      <c r="G1438" s="34" t="n"/>
      <c r="H1438" s="34" t="n"/>
      <c r="I1438" s="34" t="n"/>
      <c r="J1438" s="16" t="n"/>
    </row>
    <row r="1439">
      <c r="A1439" s="43" t="n"/>
      <c r="B1439" s="44" t="n"/>
      <c r="C1439" s="43" t="n"/>
      <c r="D1439" s="19" t="inlineStr">
        <is>
          <t>Other Required:</t>
        </is>
      </c>
      <c r="E1439" s="35" t="inlineStr">
        <is>
          <t>Capture</t>
        </is>
      </c>
      <c r="F1439" s="35" t="n"/>
      <c r="G1439" s="35" t="n"/>
      <c r="H1439" s="35" t="n"/>
      <c r="I1439" s="35" t="n"/>
      <c r="J1439" s="16" t="n"/>
    </row>
    <row r="1440">
      <c r="A1440" s="41" t="b">
        <v>1</v>
      </c>
      <c r="B1440" s="31" t="inlineStr">
        <is>
          <t>Shiveria Town: Entrance to Shiveria</t>
        </is>
      </c>
      <c r="C1440" s="35" t="n"/>
      <c r="D1440" s="12" t="inlineStr">
        <is>
          <t>Minimum Jump Height:</t>
        </is>
      </c>
      <c r="E1440" s="34" t="inlineStr">
        <is>
          <t>Backflip/Vault/Side Flip (496)</t>
        </is>
      </c>
      <c r="F1440" s="34" t="inlineStr">
        <is>
          <t>Single Jump (258)</t>
        </is>
      </c>
      <c r="G1440" s="34" t="n"/>
      <c r="H1440" s="34" t="n"/>
      <c r="I1440" s="34" t="n"/>
      <c r="J1440" s="16" t="n"/>
    </row>
    <row r="1441">
      <c r="B1441" s="42" t="n"/>
      <c r="D1441" s="12" t="inlineStr">
        <is>
          <t>Cap Throws that work:</t>
        </is>
      </c>
      <c r="E1441" s="34" t="inlineStr">
        <is>
          <t>No Cap Throw Needed</t>
        </is>
      </c>
      <c r="F1441" s="34" t="inlineStr">
        <is>
          <t>Neutral Throw</t>
        </is>
      </c>
      <c r="G1441" s="34" t="n"/>
      <c r="H1441" s="34" t="n"/>
      <c r="I1441" s="34" t="n"/>
      <c r="J1441" s="16" t="n"/>
    </row>
    <row r="1442">
      <c r="A1442" s="43" t="n"/>
      <c r="B1442" s="44" t="n"/>
      <c r="C1442" s="43" t="n"/>
      <c r="D1442" s="19" t="inlineStr">
        <is>
          <t>Other Required:</t>
        </is>
      </c>
      <c r="E1442" s="35" t="inlineStr">
        <is>
          <t>None</t>
        </is>
      </c>
      <c r="F1442" s="35" t="inlineStr">
        <is>
          <t>None</t>
        </is>
      </c>
      <c r="G1442" s="35" t="n"/>
      <c r="H1442" s="35" t="n"/>
      <c r="I1442" s="35" t="n"/>
      <c r="J1442" s="16" t="n"/>
    </row>
    <row r="1443">
      <c r="A1443" s="41" t="b">
        <v>1</v>
      </c>
      <c r="B1443" s="31" t="inlineStr">
        <is>
          <t>Snow Kingdom: Behind Snowy Mountain</t>
        </is>
      </c>
      <c r="C1443" s="35" t="n"/>
      <c r="D1443" s="12" t="inlineStr">
        <is>
          <t>Minimum Jump Height:</t>
        </is>
      </c>
      <c r="E1443" s="34" t="inlineStr">
        <is>
          <t>Long Jump</t>
        </is>
      </c>
      <c r="F1443" s="34" t="inlineStr">
        <is>
          <t>Single Jump (258)</t>
        </is>
      </c>
      <c r="G1443" s="34" t="n"/>
      <c r="H1443" s="34" t="n"/>
      <c r="I1443" s="34" t="n"/>
      <c r="J1443" s="16" t="n"/>
    </row>
    <row r="1444">
      <c r="B1444" s="42" t="n"/>
      <c r="D1444" s="12" t="inlineStr">
        <is>
          <t>Cap Throws that work:</t>
        </is>
      </c>
      <c r="E1444" s="34" t="inlineStr">
        <is>
          <t>Neutral Throw, Up Throw, Down Throw, Spin Throw</t>
        </is>
      </c>
      <c r="F1444" s="34" t="inlineStr">
        <is>
          <t>No Cap Throw Needed</t>
        </is>
      </c>
      <c r="G1444" s="34" t="n"/>
      <c r="H1444" s="34" t="n"/>
      <c r="I1444" s="34" t="n"/>
      <c r="J1444" s="16" t="n"/>
    </row>
    <row r="1445">
      <c r="A1445" s="43" t="n"/>
      <c r="B1445" s="44" t="n"/>
      <c r="C1445" s="43" t="n"/>
      <c r="D1445" s="19" t="inlineStr">
        <is>
          <t>Other Required:</t>
        </is>
      </c>
      <c r="E1445" s="35" t="inlineStr">
        <is>
          <t>None</t>
        </is>
      </c>
      <c r="F1445" s="35" t="inlineStr">
        <is>
          <t>Ground Pound</t>
        </is>
      </c>
      <c r="G1445" s="35" t="n"/>
      <c r="H1445" s="35" t="n"/>
      <c r="I1445" s="35" t="n"/>
      <c r="J1445" s="16" t="n"/>
    </row>
    <row r="1446">
      <c r="A1446" s="41" t="b">
        <v>1</v>
      </c>
      <c r="B1446" s="31" t="inlineStr">
        <is>
          <t>Shiveria Town: Shining in the Snow in Town</t>
        </is>
      </c>
      <c r="C1446" s="35" t="n"/>
      <c r="D1446" s="12" t="inlineStr">
        <is>
          <t>Minimum Jump Height:</t>
        </is>
      </c>
      <c r="E1446" s="34" t="inlineStr">
        <is>
          <t>Long Jump</t>
        </is>
      </c>
      <c r="F1446" s="34" t="n"/>
      <c r="G1446" s="34" t="n"/>
      <c r="H1446" s="34" t="n"/>
      <c r="I1446" s="34" t="n"/>
      <c r="J1446" s="16" t="n"/>
    </row>
    <row r="1447">
      <c r="B1447" s="42" t="n"/>
      <c r="D1447" s="12" t="inlineStr">
        <is>
          <t>Cap Throws that work:</t>
        </is>
      </c>
      <c r="E1447" s="34" t="inlineStr">
        <is>
          <t>No Cap Throw Needed</t>
        </is>
      </c>
      <c r="F1447" s="34" t="n"/>
      <c r="G1447" s="34" t="n"/>
      <c r="H1447" s="34" t="n"/>
      <c r="I1447" s="34" t="n"/>
      <c r="J1447" s="16" t="n"/>
    </row>
    <row r="1448">
      <c r="A1448" s="43" t="n"/>
      <c r="B1448" s="44" t="n"/>
      <c r="C1448" s="43" t="n"/>
      <c r="D1448" s="19" t="inlineStr">
        <is>
          <t>Other Required:</t>
        </is>
      </c>
      <c r="E1448" s="35" t="inlineStr">
        <is>
          <t>Ground Pound, Climb</t>
        </is>
      </c>
      <c r="F1448" s="35" t="n"/>
      <c r="G1448" s="35" t="n"/>
      <c r="H1448" s="35" t="n"/>
      <c r="I1448" s="35" t="n"/>
      <c r="J1448" s="16" t="n"/>
    </row>
    <row r="1449">
      <c r="A1449" s="41" t="b">
        <v>1</v>
      </c>
      <c r="B1449" s="31" t="inlineStr">
        <is>
          <t>Snow Kingdom: Atop a Blustery Arch</t>
        </is>
      </c>
      <c r="C1449" s="35" t="n"/>
      <c r="D1449" s="12" t="inlineStr">
        <is>
          <t>Minimum Jump Height:</t>
        </is>
      </c>
      <c r="E1449" s="34" t="inlineStr">
        <is>
          <t>Triple Jump (550)</t>
        </is>
      </c>
      <c r="F1449" s="34" t="n"/>
      <c r="G1449" s="34" t="n"/>
      <c r="H1449" s="34" t="n"/>
      <c r="I1449" s="34" t="n"/>
      <c r="J1449" s="16" t="n"/>
    </row>
    <row r="1450">
      <c r="B1450" s="42" t="n"/>
      <c r="D1450" s="12" t="inlineStr">
        <is>
          <t>Cap Throws that work:</t>
        </is>
      </c>
      <c r="E1450" s="34" t="inlineStr">
        <is>
          <t>No Cap Throw Needed</t>
        </is>
      </c>
      <c r="F1450" s="34" t="n"/>
      <c r="G1450" s="34" t="n"/>
      <c r="H1450" s="34" t="n"/>
      <c r="I1450" s="34" t="n"/>
      <c r="J1450" s="16" t="n"/>
    </row>
    <row r="1451">
      <c r="A1451" s="43" t="n"/>
      <c r="B1451" s="44" t="n"/>
      <c r="C1451" s="43" t="n"/>
      <c r="D1451" s="19" t="inlineStr">
        <is>
          <t>Other Required:</t>
        </is>
      </c>
      <c r="E1451" s="35" t="inlineStr">
        <is>
          <t>Ground Pound</t>
        </is>
      </c>
      <c r="F1451" s="35" t="n"/>
      <c r="G1451" s="35" t="n"/>
      <c r="H1451" s="35" t="n"/>
      <c r="I1451" s="35" t="n"/>
      <c r="J1451" s="16" t="n"/>
    </row>
    <row r="1452">
      <c r="A1452" s="41" t="b">
        <v>1</v>
      </c>
      <c r="B1452" s="31" t="inlineStr">
        <is>
          <t>Snow Kingdom: Caught Hopping in the Snow!</t>
        </is>
      </c>
      <c r="C1452" s="35" t="n"/>
      <c r="D1452" s="12" t="inlineStr">
        <is>
          <t>Minimum Jump Height:</t>
        </is>
      </c>
      <c r="E1452" s="34" t="inlineStr">
        <is>
          <t>No Jump Needed</t>
        </is>
      </c>
      <c r="F1452" s="34" t="n"/>
      <c r="G1452" s="34" t="n"/>
      <c r="H1452" s="34" t="n"/>
      <c r="I1452" s="34" t="n"/>
      <c r="J1452" s="16" t="n"/>
    </row>
    <row r="1453">
      <c r="B1453" s="42" t="n"/>
      <c r="D1453" s="12" t="inlineStr">
        <is>
          <t>Cap Throws that work:</t>
        </is>
      </c>
      <c r="E1453" s="34" t="inlineStr">
        <is>
          <t>No Cap Throw Needed</t>
        </is>
      </c>
      <c r="F1453" s="34" t="n"/>
      <c r="G1453" s="34" t="n"/>
      <c r="H1453" s="34" t="n"/>
      <c r="I1453" s="34" t="n"/>
      <c r="J1453" s="16" t="n"/>
    </row>
    <row r="1454">
      <c r="A1454" s="43" t="n"/>
      <c r="B1454" s="44" t="n"/>
      <c r="C1454" s="43" t="n"/>
      <c r="D1454" s="19" t="inlineStr">
        <is>
          <t>Other Required:</t>
        </is>
      </c>
      <c r="E1454" s="35" t="inlineStr">
        <is>
          <t>None</t>
        </is>
      </c>
      <c r="F1454" s="35" t="n"/>
      <c r="G1454" s="35" t="n"/>
      <c r="H1454" s="35" t="n"/>
      <c r="I1454" s="35" t="n"/>
      <c r="J1454" s="16" t="n"/>
    </row>
    <row r="1455">
      <c r="A1455" s="41" t="b">
        <v>1</v>
      </c>
      <c r="B1455" s="31" t="inlineStr">
        <is>
          <t>Shiveria Town: The Shiverian Treasure Chest</t>
        </is>
      </c>
      <c r="C1455" s="35" t="n"/>
      <c r="D1455" s="12" t="inlineStr">
        <is>
          <t>Minimum Jump Height:</t>
        </is>
      </c>
      <c r="E1455" s="34" t="inlineStr">
        <is>
          <t>Long Jump</t>
        </is>
      </c>
      <c r="F1455" s="34" t="inlineStr">
        <is>
          <t>Long Jump</t>
        </is>
      </c>
      <c r="G1455" s="34" t="n"/>
      <c r="H1455" s="34" t="n"/>
      <c r="I1455" s="34" t="n"/>
      <c r="J1455" s="16" t="n"/>
    </row>
    <row r="1456">
      <c r="B1456" s="42" t="n"/>
      <c r="D1456" s="12" t="inlineStr">
        <is>
          <t>Cap Throws that work:</t>
        </is>
      </c>
      <c r="E1456" s="34" t="inlineStr">
        <is>
          <t>Neutral Throw, Up Throw, Down Throw, Spin Throw</t>
        </is>
      </c>
      <c r="F1456" s="34" t="inlineStr">
        <is>
          <t>No Cap Throw Needed</t>
        </is>
      </c>
      <c r="G1456" s="34" t="n"/>
      <c r="H1456" s="34" t="n"/>
      <c r="I1456" s="34" t="n"/>
      <c r="J1456" s="16" t="n"/>
    </row>
    <row r="1457">
      <c r="A1457" s="43" t="n"/>
      <c r="B1457" s="44" t="n"/>
      <c r="C1457" s="43" t="n"/>
      <c r="D1457" s="19" t="inlineStr">
        <is>
          <t>Other Required:</t>
        </is>
      </c>
      <c r="E1457" s="35" t="inlineStr">
        <is>
          <t>None</t>
        </is>
      </c>
      <c r="F1457" s="35" t="inlineStr">
        <is>
          <t>Ground Pound</t>
        </is>
      </c>
      <c r="G1457" s="35" t="n"/>
      <c r="H1457" s="35" t="n"/>
      <c r="I1457" s="35" t="n"/>
      <c r="J1457" s="16" t="n"/>
    </row>
    <row r="1458">
      <c r="A1458" s="41" t="b">
        <v>1</v>
      </c>
      <c r="B1458" s="31" t="inlineStr">
        <is>
          <t>Snow Kingdom: Treasure in the Ice Wall</t>
        </is>
      </c>
      <c r="C1458" s="35" t="n"/>
      <c r="D1458" s="12" t="inlineStr">
        <is>
          <t>Minimum Jump Height:</t>
        </is>
      </c>
      <c r="E1458" s="34" t="inlineStr">
        <is>
          <t>Single Jump (258)</t>
        </is>
      </c>
      <c r="F1458" s="34" t="inlineStr">
        <is>
          <t>Long Jump</t>
        </is>
      </c>
      <c r="G1458" s="34" t="n"/>
      <c r="H1458" s="34" t="n"/>
      <c r="I1458" s="34" t="n"/>
      <c r="J1458" s="16" t="n"/>
    </row>
    <row r="1459">
      <c r="B1459" s="42" t="n"/>
      <c r="D1459" s="12" t="inlineStr">
        <is>
          <t>Cap Throws that work:</t>
        </is>
      </c>
      <c r="E1459" s="34" t="inlineStr">
        <is>
          <t>No Cap Throw Needed</t>
        </is>
      </c>
      <c r="F1459" s="34" t="inlineStr">
        <is>
          <t>Neutral Throw, Up Throw, Down Throw, Spin Throw</t>
        </is>
      </c>
      <c r="G1459" s="34" t="n"/>
      <c r="H1459" s="34" t="n"/>
      <c r="I1459" s="34" t="n"/>
      <c r="J1459" s="16" t="n"/>
    </row>
    <row r="1460">
      <c r="A1460" s="43" t="n"/>
      <c r="B1460" s="44" t="n"/>
      <c r="C1460" s="43" t="n"/>
      <c r="D1460" s="19" t="inlineStr">
        <is>
          <t>Other Required:</t>
        </is>
      </c>
      <c r="E1460" s="35" t="n"/>
      <c r="F1460" s="35" t="n"/>
      <c r="G1460" s="35" t="n"/>
      <c r="H1460" s="35" t="n"/>
      <c r="I1460" s="35" t="n"/>
      <c r="J1460" s="16" t="n"/>
    </row>
    <row r="1461">
      <c r="A1461" s="41" t="b">
        <v>1</v>
      </c>
      <c r="B1461" s="31" t="inlineStr">
        <is>
          <t>Snow Kingdom: Snow Kingdom Timer Challenge 1</t>
        </is>
      </c>
      <c r="C1461" s="35" t="n"/>
      <c r="D1461" s="12" t="inlineStr">
        <is>
          <t>Minimum Jump Height:</t>
        </is>
      </c>
      <c r="E1461" s="34" t="inlineStr">
        <is>
          <t>Single Jump (258)</t>
        </is>
      </c>
      <c r="F1461" s="34" t="n"/>
      <c r="G1461" s="34" t="n"/>
      <c r="H1461" s="34" t="n"/>
      <c r="I1461" s="34" t="n"/>
      <c r="J1461" s="16" t="n"/>
    </row>
    <row r="1462">
      <c r="B1462" s="42" t="n"/>
      <c r="D1462" s="12" t="inlineStr">
        <is>
          <t>Cap Throws that work:</t>
        </is>
      </c>
      <c r="E1462" s="34" t="inlineStr">
        <is>
          <t>Neutral Throw, Up Throw, Down Throw, Spin Throw</t>
        </is>
      </c>
      <c r="F1462" s="34" t="n"/>
      <c r="G1462" s="34" t="n"/>
      <c r="H1462" s="34" t="n"/>
      <c r="I1462" s="34" t="n"/>
      <c r="J1462" s="16" t="n"/>
    </row>
    <row r="1463">
      <c r="A1463" s="43" t="n"/>
      <c r="B1463" s="44" t="n"/>
      <c r="C1463" s="43" t="n"/>
      <c r="D1463" s="19" t="inlineStr">
        <is>
          <t>Other Required:</t>
        </is>
      </c>
      <c r="E1463" s="35" t="inlineStr">
        <is>
          <t>None</t>
        </is>
      </c>
      <c r="F1463" s="35" t="n"/>
      <c r="G1463" s="35" t="n"/>
      <c r="H1463" s="35" t="n"/>
      <c r="I1463" s="35" t="n"/>
      <c r="J1463" s="16" t="n"/>
    </row>
    <row r="1464">
      <c r="A1464" s="41" t="b">
        <v>1</v>
      </c>
      <c r="B1464" s="31" t="inlineStr">
        <is>
          <t>Snow Kingdom: Snow Kingdom Timer Challenge 2</t>
        </is>
      </c>
      <c r="C1464" s="35" t="n"/>
      <c r="D1464" s="12" t="inlineStr">
        <is>
          <t>Minimum Jump Height:</t>
        </is>
      </c>
      <c r="E1464" s="34" t="inlineStr">
        <is>
          <t>Single Jump (258)</t>
        </is>
      </c>
      <c r="F1464" s="34" t="n"/>
      <c r="G1464" s="34" t="n"/>
      <c r="H1464" s="34" t="n"/>
      <c r="I1464" s="34" t="n"/>
      <c r="J1464" s="16" t="n"/>
    </row>
    <row r="1465">
      <c r="B1465" s="42" t="n"/>
      <c r="D1465" s="12" t="inlineStr">
        <is>
          <t>Cap Throws that work:</t>
        </is>
      </c>
      <c r="E1465" s="34" t="inlineStr">
        <is>
          <t>Neutral Throw, Up Throw, Down Throw, Spin Throw</t>
        </is>
      </c>
      <c r="F1465" s="34" t="n"/>
      <c r="G1465" s="34" t="n"/>
      <c r="H1465" s="34" t="n"/>
      <c r="I1465" s="34" t="n"/>
      <c r="J1465" s="16" t="n"/>
    </row>
    <row r="1466">
      <c r="A1466" s="43" t="n"/>
      <c r="B1466" s="44" t="n"/>
      <c r="C1466" s="43" t="n"/>
      <c r="D1466" s="19" t="inlineStr">
        <is>
          <t>Other Required:</t>
        </is>
      </c>
      <c r="E1466" s="35" t="inlineStr">
        <is>
          <t>Climb</t>
        </is>
      </c>
      <c r="F1466" s="35" t="n"/>
      <c r="G1466" s="35" t="n"/>
      <c r="H1466" s="35" t="n"/>
      <c r="I1466" s="35" t="n"/>
      <c r="J1466" s="16" t="n"/>
    </row>
    <row r="1467">
      <c r="A1467" s="41" t="b">
        <v>1</v>
      </c>
      <c r="B1467" s="31" t="inlineStr">
        <is>
          <t>Snow Kingdom: Moon Shards in the Snow</t>
        </is>
      </c>
      <c r="C1467" s="35" t="n"/>
      <c r="D1467" s="12" t="inlineStr">
        <is>
          <t>Minimum Jump Height:</t>
        </is>
      </c>
      <c r="E1467" s="34" t="inlineStr">
        <is>
          <t>Cap Return Jump (400)</t>
        </is>
      </c>
      <c r="F1467" s="34" t="inlineStr">
        <is>
          <t>Long Jump</t>
        </is>
      </c>
      <c r="G1467" s="34" t="n"/>
      <c r="H1467" s="34" t="n"/>
      <c r="I1467" s="34" t="n"/>
      <c r="J1467" s="16" t="n"/>
    </row>
    <row r="1468">
      <c r="B1468" s="42" t="n"/>
      <c r="D1468" s="12" t="inlineStr">
        <is>
          <t>Cap Throws that work:</t>
        </is>
      </c>
      <c r="E1468" s="34" t="inlineStr">
        <is>
          <t>Neutral Throw, Up Throw, Down Throw, Spin Throw</t>
        </is>
      </c>
      <c r="F1468" s="34" t="inlineStr">
        <is>
          <t>Up Throw</t>
        </is>
      </c>
      <c r="G1468" s="34" t="n"/>
      <c r="H1468" s="34" t="n"/>
      <c r="I1468" s="34" t="n"/>
      <c r="J1468" s="16" t="n"/>
    </row>
    <row r="1469">
      <c r="A1469" s="43" t="n"/>
      <c r="B1469" s="44" t="n"/>
      <c r="C1469" s="43" t="n"/>
      <c r="D1469" s="19" t="inlineStr">
        <is>
          <t>Other Required:</t>
        </is>
      </c>
      <c r="E1469" s="35" t="inlineStr">
        <is>
          <t>None</t>
        </is>
      </c>
      <c r="F1469" s="35" t="inlineStr">
        <is>
          <t>None</t>
        </is>
      </c>
      <c r="G1469" s="35" t="n"/>
      <c r="H1469" s="35" t="n"/>
      <c r="I1469" s="35" t="n"/>
      <c r="J1469" s="16" t="n"/>
    </row>
    <row r="1470">
      <c r="A1470" s="41" t="b">
        <v>1</v>
      </c>
      <c r="B1470" s="31" t="inlineStr">
        <is>
          <t>Snow Kingdom: Taking Notes: Snow Path Dash</t>
        </is>
      </c>
      <c r="C1470" s="35" t="n"/>
      <c r="D1470" s="12" t="inlineStr">
        <is>
          <t>Minimum Jump Height:</t>
        </is>
      </c>
      <c r="E1470" s="34" t="inlineStr">
        <is>
          <t>Long Jump</t>
        </is>
      </c>
      <c r="F1470" s="34" t="inlineStr">
        <is>
          <t>No Jump Needed</t>
        </is>
      </c>
      <c r="G1470" s="34" t="n"/>
      <c r="H1470" s="34" t="n"/>
      <c r="I1470" s="34" t="n"/>
      <c r="J1470" s="16" t="n"/>
    </row>
    <row r="1471">
      <c r="B1471" s="42" t="n"/>
      <c r="D1471" s="12" t="inlineStr">
        <is>
          <t>Cap Throws that work:</t>
        </is>
      </c>
      <c r="E1471" s="34" t="inlineStr">
        <is>
          <t>No Cap Throw Needed</t>
        </is>
      </c>
      <c r="F1471" s="34" t="inlineStr">
        <is>
          <t>No Cap Throw Needed</t>
        </is>
      </c>
      <c r="G1471" s="34" t="n"/>
      <c r="H1471" s="34" t="n"/>
      <c r="I1471" s="34" t="n"/>
      <c r="J1471" s="16" t="n"/>
    </row>
    <row r="1472">
      <c r="A1472" s="43" t="n"/>
      <c r="B1472" s="44" t="n"/>
      <c r="C1472" s="43" t="n"/>
      <c r="D1472" s="19" t="inlineStr">
        <is>
          <t>Other Required:</t>
        </is>
      </c>
      <c r="E1472" s="35" t="inlineStr">
        <is>
          <t>None</t>
        </is>
      </c>
      <c r="F1472" s="35" t="inlineStr">
        <is>
          <t>Roll Boost</t>
        </is>
      </c>
      <c r="G1472" s="35" t="n"/>
      <c r="H1472" s="35" t="n"/>
      <c r="I1472" s="35" t="n"/>
      <c r="J1472" s="16" t="n"/>
    </row>
    <row r="1473">
      <c r="A1473" s="41" t="b">
        <v>1</v>
      </c>
      <c r="B1473" s="31" t="inlineStr">
        <is>
          <t>Snow Kingdom: Fishing in the Glacier!</t>
        </is>
      </c>
      <c r="C1473" s="35" t="inlineStr">
        <is>
          <t>Lakitu</t>
        </is>
      </c>
      <c r="D1473" s="12" t="inlineStr">
        <is>
          <t>Minimum Jump Height:</t>
        </is>
      </c>
      <c r="E1473" s="34" t="inlineStr">
        <is>
          <t>No Jump Needed</t>
        </is>
      </c>
      <c r="F1473" s="34" t="n"/>
      <c r="G1473" s="34" t="n"/>
      <c r="H1473" s="34" t="n"/>
      <c r="I1473" s="34" t="n"/>
      <c r="J1473" s="16" t="n"/>
    </row>
    <row r="1474">
      <c r="B1474" s="42" t="n"/>
      <c r="D1474" s="12" t="inlineStr">
        <is>
          <t>Cap Throws that work:</t>
        </is>
      </c>
      <c r="E1474" s="34" t="inlineStr">
        <is>
          <t>Neutral Throw, Up Throw, Down Throw, Spin Throw</t>
        </is>
      </c>
      <c r="F1474" s="34" t="n"/>
      <c r="G1474" s="34" t="n"/>
      <c r="H1474" s="34" t="n"/>
      <c r="I1474" s="34" t="n"/>
      <c r="J1474" s="16" t="n"/>
    </row>
    <row r="1475">
      <c r="A1475" s="43" t="n"/>
      <c r="B1475" s="44" t="n"/>
      <c r="C1475" s="43" t="n"/>
      <c r="D1475" s="19" t="inlineStr">
        <is>
          <t>Other Required:</t>
        </is>
      </c>
      <c r="E1475" s="35" t="n"/>
      <c r="F1475" s="35" t="n"/>
      <c r="G1475" s="35" t="n"/>
      <c r="H1475" s="35" t="n"/>
      <c r="I1475" s="35" t="n"/>
      <c r="J1475" s="16" t="n"/>
    </row>
    <row r="1476">
      <c r="A1476" s="41" t="b">
        <v>1</v>
      </c>
      <c r="B1476" s="31" t="inlineStr">
        <is>
          <t>Snow Kingdom: Ice-Dodging Goomba Stack</t>
        </is>
      </c>
      <c r="C1476" s="35" t="inlineStr">
        <is>
          <t>Goomba</t>
        </is>
      </c>
      <c r="D1476" s="12" t="inlineStr">
        <is>
          <t>Minimum Jump Height:</t>
        </is>
      </c>
      <c r="E1476" s="34" t="inlineStr">
        <is>
          <t>Long Jump</t>
        </is>
      </c>
      <c r="F1476" s="34" t="n"/>
      <c r="G1476" s="34" t="n"/>
      <c r="H1476" s="34" t="n"/>
      <c r="I1476" s="34" t="n"/>
      <c r="J1476" s="16" t="n"/>
    </row>
    <row r="1477">
      <c r="B1477" s="42" t="n"/>
      <c r="D1477" s="12" t="inlineStr">
        <is>
          <t>Cap Throws that work:</t>
        </is>
      </c>
      <c r="E1477" s="34" t="inlineStr">
        <is>
          <t>Neutral Throw, Up Throw, Down Throw, Spin Throw</t>
        </is>
      </c>
      <c r="F1477" s="34" t="n"/>
      <c r="G1477" s="34" t="n"/>
      <c r="H1477" s="34" t="n"/>
      <c r="I1477" s="34" t="n"/>
      <c r="J1477" s="16" t="n"/>
    </row>
    <row r="1478">
      <c r="A1478" s="43" t="n"/>
      <c r="B1478" s="44" t="n"/>
      <c r="C1478" s="43" t="n"/>
      <c r="D1478" s="19" t="inlineStr">
        <is>
          <t>Other Required:</t>
        </is>
      </c>
      <c r="E1478" s="35" t="inlineStr">
        <is>
          <t>Capture</t>
        </is>
      </c>
      <c r="F1478" s="35" t="n"/>
      <c r="G1478" s="35" t="n"/>
      <c r="H1478" s="35" t="n"/>
      <c r="I1478" s="35" t="n"/>
      <c r="J1478" s="16" t="n"/>
    </row>
    <row r="1479">
      <c r="A1479" s="41" t="b">
        <v>1</v>
      </c>
      <c r="B1479" s="31" t="inlineStr">
        <is>
          <t>Snow Kingdom: Captain Toad is Chilly!</t>
        </is>
      </c>
      <c r="C1479" s="35" t="n"/>
      <c r="D1479" s="12" t="inlineStr">
        <is>
          <t>Minimum Jump Height:</t>
        </is>
      </c>
      <c r="E1479" s="34" t="inlineStr">
        <is>
          <t>No Jump Needed</t>
        </is>
      </c>
      <c r="F1479" s="34" t="n"/>
      <c r="G1479" s="34" t="n"/>
      <c r="H1479" s="34" t="n"/>
      <c r="I1479" s="34" t="n"/>
      <c r="J1479" s="16" t="n"/>
    </row>
    <row r="1480">
      <c r="B1480" s="42" t="n"/>
      <c r="D1480" s="12" t="inlineStr">
        <is>
          <t>Cap Throws that work:</t>
        </is>
      </c>
      <c r="E1480" s="34" t="inlineStr">
        <is>
          <t>No Cap Throw Needed</t>
        </is>
      </c>
      <c r="F1480" s="34" t="n"/>
      <c r="G1480" s="34" t="n"/>
      <c r="H1480" s="34" t="n"/>
      <c r="I1480" s="34" t="n"/>
      <c r="J1480" s="16" t="n"/>
    </row>
    <row r="1481">
      <c r="A1481" s="43" t="n"/>
      <c r="B1481" s="44" t="n"/>
      <c r="C1481" s="43" t="n"/>
      <c r="D1481" s="19" t="inlineStr">
        <is>
          <t>Other Required:</t>
        </is>
      </c>
      <c r="E1481" s="35" t="inlineStr">
        <is>
          <t>None</t>
        </is>
      </c>
      <c r="F1481" s="35" t="n"/>
      <c r="G1481" s="35" t="n"/>
      <c r="H1481" s="35" t="n"/>
      <c r="I1481" s="35" t="n"/>
      <c r="J1481" s="16" t="n"/>
    </row>
    <row r="1482">
      <c r="A1482" s="41" t="b">
        <v>1</v>
      </c>
      <c r="B1482" s="31" t="inlineStr">
        <is>
          <t>Shiveria Town: I'm Not Cold!</t>
        </is>
      </c>
      <c r="C1482" s="35" t="n"/>
      <c r="D1482" s="12" t="inlineStr">
        <is>
          <t>Minimum Jump Height:</t>
        </is>
      </c>
      <c r="E1482" s="34" t="inlineStr">
        <is>
          <t>Long Jump</t>
        </is>
      </c>
      <c r="F1482" s="34" t="n"/>
      <c r="G1482" s="34" t="n"/>
      <c r="H1482" s="34" t="n"/>
      <c r="I1482" s="34" t="n"/>
      <c r="J1482" s="16" t="n"/>
    </row>
    <row r="1483">
      <c r="B1483" s="42" t="n"/>
      <c r="D1483" s="12" t="inlineStr">
        <is>
          <t>Cap Throws that work:</t>
        </is>
      </c>
      <c r="E1483" s="34" t="inlineStr">
        <is>
          <t>No Cap Throw Needed</t>
        </is>
      </c>
      <c r="F1483" s="34" t="n"/>
      <c r="G1483" s="34" t="n"/>
      <c r="H1483" s="34" t="n"/>
      <c r="I1483" s="34" t="n"/>
      <c r="J1483" s="16" t="n"/>
    </row>
    <row r="1484">
      <c r="A1484" s="43" t="n"/>
      <c r="B1484" s="44" t="n"/>
      <c r="C1484" s="43" t="n"/>
      <c r="D1484" s="19" t="inlineStr">
        <is>
          <t>Other Required:</t>
        </is>
      </c>
      <c r="E1484" s="35" t="n"/>
      <c r="F1484" s="35" t="n"/>
      <c r="G1484" s="35" t="n"/>
      <c r="H1484" s="35" t="n"/>
      <c r="I1484" s="35" t="n"/>
      <c r="J1484" s="16" t="n"/>
    </row>
    <row r="1485">
      <c r="A1485" s="41" t="b">
        <v>1</v>
      </c>
      <c r="B1485" s="31" t="inlineStr">
        <is>
          <t>Crazy Cap Store (Snow): Shopping in Shiveria</t>
        </is>
      </c>
      <c r="C1485" s="35" t="n"/>
      <c r="D1485" s="12" t="inlineStr">
        <is>
          <t>Minimum Jump Height:</t>
        </is>
      </c>
      <c r="E1485" s="34" t="inlineStr">
        <is>
          <t>Long Jump</t>
        </is>
      </c>
      <c r="F1485" s="34" t="n"/>
      <c r="G1485" s="34" t="n"/>
      <c r="H1485" s="34" t="n"/>
      <c r="I1485" s="34" t="n"/>
      <c r="J1485" s="16" t="n"/>
    </row>
    <row r="1486">
      <c r="B1486" s="42" t="n"/>
      <c r="D1486" s="12" t="inlineStr">
        <is>
          <t>Cap Throws that work:</t>
        </is>
      </c>
      <c r="E1486" s="34" t="inlineStr">
        <is>
          <t>No Cap Throw Needed</t>
        </is>
      </c>
      <c r="F1486" s="34" t="n"/>
      <c r="G1486" s="34" t="n"/>
      <c r="H1486" s="34" t="n"/>
      <c r="I1486" s="34" t="n"/>
      <c r="J1486" s="16" t="n"/>
    </row>
    <row r="1487">
      <c r="A1487" s="43" t="n"/>
      <c r="B1487" s="44" t="n"/>
      <c r="C1487" s="43" t="n"/>
      <c r="D1487" s="19" t="inlineStr">
        <is>
          <t>Other Required:</t>
        </is>
      </c>
      <c r="E1487" s="35" t="inlineStr">
        <is>
          <t>None</t>
        </is>
      </c>
      <c r="F1487" s="35" t="n"/>
      <c r="G1487" s="35" t="n"/>
      <c r="H1487" s="35" t="n"/>
      <c r="I1487" s="35" t="n"/>
      <c r="J1487" s="16" t="n"/>
    </row>
    <row r="1488">
      <c r="A1488" s="41" t="b">
        <v>1</v>
      </c>
      <c r="B1488" s="31" t="inlineStr">
        <is>
          <t>Shards in the Cold Room: Walking on Ice!</t>
        </is>
      </c>
      <c r="C1488" s="35" t="n"/>
      <c r="D1488" s="12" t="inlineStr">
        <is>
          <t>Minimum Jump Height:</t>
        </is>
      </c>
      <c r="E1488" s="34" t="inlineStr">
        <is>
          <t>No Jump Needed</t>
        </is>
      </c>
      <c r="F1488" s="34" t="n"/>
      <c r="G1488" s="34" t="n"/>
      <c r="H1488" s="34" t="n"/>
      <c r="I1488" s="34" t="n"/>
      <c r="J1488" s="16" t="n"/>
    </row>
    <row r="1489">
      <c r="B1489" s="42" t="n"/>
      <c r="D1489" s="12" t="inlineStr">
        <is>
          <t>Cap Throws that work:</t>
        </is>
      </c>
      <c r="E1489" s="34" t="inlineStr">
        <is>
          <t>Neutral Throw, Up Throw, Down Throw, Spin Throw</t>
        </is>
      </c>
      <c r="F1489" s="34" t="n"/>
      <c r="G1489" s="34" t="n"/>
      <c r="H1489" s="34" t="n"/>
      <c r="I1489" s="34" t="n"/>
      <c r="J1489" s="16" t="n"/>
    </row>
    <row r="1490">
      <c r="A1490" s="43" t="n"/>
      <c r="B1490" s="44" t="n"/>
      <c r="C1490" s="43" t="n"/>
      <c r="D1490" s="19" t="inlineStr">
        <is>
          <t>Other Required:</t>
        </is>
      </c>
      <c r="E1490" s="35" t="inlineStr">
        <is>
          <t>None</t>
        </is>
      </c>
      <c r="F1490" s="35" t="n"/>
      <c r="G1490" s="35" t="n"/>
      <c r="H1490" s="35" t="n"/>
      <c r="I1490" s="35" t="n"/>
      <c r="J1490" s="16" t="n"/>
    </row>
    <row r="1491">
      <c r="A1491" s="41" t="b">
        <v>1</v>
      </c>
      <c r="B1491" s="31" t="inlineStr">
        <is>
          <t>Class A Lobby: Snowline Circuit Class S</t>
        </is>
      </c>
      <c r="C1491" s="35" t="inlineStr">
        <is>
          <t>Shiverian Racer</t>
        </is>
      </c>
      <c r="D1491" s="12" t="inlineStr">
        <is>
          <t>Minimum Jump Height:</t>
        </is>
      </c>
      <c r="E1491" s="34" t="inlineStr">
        <is>
          <t>Single Jump (258)</t>
        </is>
      </c>
      <c r="F1491" s="34" t="n"/>
      <c r="G1491" s="34" t="n"/>
      <c r="H1491" s="34" t="n"/>
      <c r="I1491" s="34" t="n"/>
      <c r="J1491" s="16" t="n"/>
    </row>
    <row r="1492">
      <c r="B1492" s="42" t="n"/>
      <c r="D1492" s="12" t="inlineStr">
        <is>
          <t>Cap Throws that work:</t>
        </is>
      </c>
      <c r="E1492" s="34" t="inlineStr">
        <is>
          <t>Neutral Throw, Up Throw, Down Throw, Spin Throw</t>
        </is>
      </c>
      <c r="F1492" s="34" t="n"/>
      <c r="G1492" s="34" t="n"/>
      <c r="H1492" s="34" t="n"/>
      <c r="I1492" s="34" t="n"/>
      <c r="J1492" s="16" t="n"/>
    </row>
    <row r="1493">
      <c r="A1493" s="43" t="n"/>
      <c r="B1493" s="44" t="n"/>
      <c r="C1493" s="43" t="n"/>
      <c r="D1493" s="19" t="inlineStr">
        <is>
          <t>Other Required:</t>
        </is>
      </c>
      <c r="E1493" s="35" t="inlineStr">
        <is>
          <t>Capture</t>
        </is>
      </c>
      <c r="F1493" s="35" t="n"/>
      <c r="G1493" s="35" t="n"/>
      <c r="H1493" s="35" t="n"/>
      <c r="I1493" s="35" t="n"/>
      <c r="J1493" s="16" t="n"/>
    </row>
    <row r="1494">
      <c r="A1494" s="41" t="b">
        <v>1</v>
      </c>
      <c r="B1494" s="31" t="inlineStr">
        <is>
          <t>Dashing Over Cold Water: Dashing Over Cold Water!</t>
        </is>
      </c>
      <c r="C1494" s="35" t="n"/>
      <c r="D1494" s="12" t="inlineStr">
        <is>
          <t>Minimum Jump Height:</t>
        </is>
      </c>
      <c r="E1494" s="34" t="inlineStr">
        <is>
          <t>Single Jump (258)</t>
        </is>
      </c>
      <c r="F1494" s="34" t="n"/>
      <c r="G1494" s="34" t="n"/>
      <c r="H1494" s="34" t="n"/>
      <c r="I1494" s="34" t="n"/>
      <c r="J1494" s="16" t="n"/>
    </row>
    <row r="1495">
      <c r="B1495" s="42" t="n"/>
      <c r="D1495" s="12" t="inlineStr">
        <is>
          <t>Cap Throws that work:</t>
        </is>
      </c>
      <c r="E1495" s="34" t="inlineStr">
        <is>
          <t>Neutral Throw, Up Throw, Down Throw, Spin Throw</t>
        </is>
      </c>
      <c r="F1495" s="34" t="n"/>
      <c r="G1495" s="34" t="n"/>
      <c r="H1495" s="34" t="n"/>
      <c r="I1495" s="34" t="n"/>
      <c r="J1495" s="16" t="n"/>
    </row>
    <row r="1496">
      <c r="A1496" s="43" t="n"/>
      <c r="B1496" s="44" t="n"/>
      <c r="C1496" s="43" t="n"/>
      <c r="D1496" s="19" t="inlineStr">
        <is>
          <t>Other Required:</t>
        </is>
      </c>
      <c r="E1496" s="35" t="inlineStr">
        <is>
          <t>None</t>
        </is>
      </c>
      <c r="F1496" s="35" t="n"/>
      <c r="G1496" s="35" t="n"/>
      <c r="H1496" s="35" t="n"/>
      <c r="I1496" s="35" t="n"/>
      <c r="J1496" s="16" t="n"/>
    </row>
    <row r="1497">
      <c r="A1497" s="41" t="b">
        <v>1</v>
      </c>
      <c r="B1497" s="31" t="inlineStr">
        <is>
          <t>Dashing Over Cold Water: Dashing Above and Beyond!</t>
        </is>
      </c>
      <c r="C1497" s="35" t="n"/>
      <c r="D1497" s="12" t="inlineStr">
        <is>
          <t>Minimum Jump Height:</t>
        </is>
      </c>
      <c r="E1497" s="34" t="inlineStr">
        <is>
          <t>Single Jump (258)</t>
        </is>
      </c>
      <c r="F1497" s="34" t="n"/>
      <c r="G1497" s="34" t="n"/>
      <c r="H1497" s="34" t="n"/>
      <c r="I1497" s="34" t="n"/>
      <c r="J1497" s="16" t="n"/>
    </row>
    <row r="1498">
      <c r="B1498" s="42" t="n"/>
      <c r="D1498" s="12" t="inlineStr">
        <is>
          <t>Cap Throws that work:</t>
        </is>
      </c>
      <c r="E1498" s="34" t="inlineStr">
        <is>
          <t>Neutral Throw, Up Throw, Down Throw, Spin Throw</t>
        </is>
      </c>
      <c r="F1498" s="34" t="n"/>
      <c r="G1498" s="34" t="n"/>
      <c r="H1498" s="34" t="n"/>
      <c r="I1498" s="34" t="n"/>
      <c r="J1498" s="16" t="n"/>
    </row>
    <row r="1499">
      <c r="A1499" s="43" t="n"/>
      <c r="B1499" s="44" t="n"/>
      <c r="C1499" s="43" t="n"/>
      <c r="D1499" s="19" t="inlineStr">
        <is>
          <t>Other Required:</t>
        </is>
      </c>
      <c r="E1499" s="35" t="inlineStr">
        <is>
          <t>None</t>
        </is>
      </c>
      <c r="F1499" s="35" t="n"/>
      <c r="G1499" s="35" t="n"/>
      <c r="H1499" s="35" t="n"/>
      <c r="I1499" s="35" t="n"/>
      <c r="J1499" s="16" t="n"/>
    </row>
    <row r="1500">
      <c r="A1500" s="41" t="b">
        <v>1</v>
      </c>
      <c r="B1500" s="31" t="inlineStr">
        <is>
          <t>Freezing Water: Jump 'n' Swim in the Freezing Water</t>
        </is>
      </c>
      <c r="C1500" s="35" t="n"/>
      <c r="D1500" s="12" t="inlineStr">
        <is>
          <t>Minimum Jump Height:</t>
        </is>
      </c>
      <c r="E1500" s="34" t="inlineStr">
        <is>
          <t>Single Jump (258)</t>
        </is>
      </c>
      <c r="F1500" s="34" t="n"/>
      <c r="G1500" s="34" t="n"/>
      <c r="H1500" s="34" t="n"/>
      <c r="I1500" s="34" t="n"/>
      <c r="J1500" s="16" t="n"/>
    </row>
    <row r="1501">
      <c r="B1501" s="42" t="n"/>
      <c r="D1501" s="12" t="inlineStr">
        <is>
          <t>Cap Throws that work:</t>
        </is>
      </c>
      <c r="E1501" s="34" t="inlineStr">
        <is>
          <t>Neutral Throw, Up Throw, Down Throw, Spin Throw</t>
        </is>
      </c>
      <c r="F1501" s="34" t="n"/>
      <c r="G1501" s="34" t="n"/>
      <c r="H1501" s="34" t="n"/>
      <c r="I1501" s="34" t="n"/>
      <c r="J1501" s="16" t="n"/>
    </row>
    <row r="1502">
      <c r="A1502" s="43" t="n"/>
      <c r="B1502" s="44" t="n"/>
      <c r="C1502" s="43" t="n"/>
      <c r="D1502" s="19" t="inlineStr">
        <is>
          <t>Other Required:</t>
        </is>
      </c>
      <c r="E1502" s="35" t="n"/>
      <c r="F1502" s="35" t="n"/>
      <c r="G1502" s="35" t="n"/>
      <c r="H1502" s="35" t="n"/>
      <c r="I1502" s="35" t="n"/>
      <c r="J1502" s="16" t="n"/>
    </row>
    <row r="1503">
      <c r="A1503" s="41" t="b">
        <v>1</v>
      </c>
      <c r="B1503" s="31" t="inlineStr">
        <is>
          <t>Freezing Water: Freezing Water Near the Ceiling</t>
        </is>
      </c>
      <c r="C1503" s="35" t="n"/>
      <c r="D1503" s="12" t="inlineStr">
        <is>
          <t>Minimum Jump Height:</t>
        </is>
      </c>
      <c r="E1503" s="34" t="inlineStr">
        <is>
          <t>Single Jump (258)</t>
        </is>
      </c>
      <c r="F1503" s="34" t="n"/>
      <c r="G1503" s="34" t="n"/>
      <c r="H1503" s="34" t="n"/>
      <c r="I1503" s="34" t="n"/>
      <c r="J1503" s="16" t="n"/>
    </row>
    <row r="1504">
      <c r="B1504" s="42" t="n"/>
      <c r="D1504" s="12" t="inlineStr">
        <is>
          <t>Cap Throws that work:</t>
        </is>
      </c>
      <c r="E1504" s="34" t="inlineStr">
        <is>
          <t>Neutral Throw, Up Throw, Down Throw, Spin Throw</t>
        </is>
      </c>
      <c r="F1504" s="34" t="n"/>
      <c r="G1504" s="34" t="n"/>
      <c r="H1504" s="34" t="n"/>
      <c r="I1504" s="34" t="n"/>
      <c r="J1504" s="16" t="n"/>
    </row>
    <row r="1505">
      <c r="A1505" s="43" t="n"/>
      <c r="B1505" s="44" t="n"/>
      <c r="C1505" s="43" t="n"/>
      <c r="D1505" s="19" t="inlineStr">
        <is>
          <t>Other Required:</t>
        </is>
      </c>
      <c r="E1505" s="35" t="n"/>
      <c r="F1505" s="35" t="n"/>
      <c r="G1505" s="35" t="n"/>
      <c r="H1505" s="35" t="n"/>
      <c r="I1505" s="35" t="n"/>
      <c r="J1505" s="16" t="n"/>
    </row>
    <row r="1506">
      <c r="A1506" s="41" t="b">
        <v>1</v>
      </c>
      <c r="B1506" s="31" t="inlineStr">
        <is>
          <t>Ty-Foo Sliding Puzzle: Blowing and Sliding</t>
        </is>
      </c>
      <c r="C1506" s="35" t="inlineStr">
        <is>
          <t>Ty-Foo</t>
        </is>
      </c>
      <c r="D1506" s="12" t="inlineStr">
        <is>
          <t>Minimum Jump Height:</t>
        </is>
      </c>
      <c r="E1506" s="34" t="inlineStr">
        <is>
          <t>Single Jump (258)</t>
        </is>
      </c>
      <c r="F1506" s="34" t="n"/>
      <c r="G1506" s="34" t="n"/>
      <c r="H1506" s="34" t="n"/>
      <c r="I1506" s="34" t="n"/>
      <c r="J1506" s="16" t="n"/>
    </row>
    <row r="1507">
      <c r="B1507" s="42" t="n"/>
      <c r="D1507" s="12" t="inlineStr">
        <is>
          <t>Cap Throws that work:</t>
        </is>
      </c>
      <c r="E1507" s="34" t="inlineStr">
        <is>
          <t>Neutral Throw, Up Throw, Down Throw, Spin Throw</t>
        </is>
      </c>
      <c r="F1507" s="34" t="n"/>
      <c r="G1507" s="34" t="n"/>
      <c r="H1507" s="34" t="n"/>
      <c r="I1507" s="34" t="n"/>
      <c r="J1507" s="16" t="n"/>
    </row>
    <row r="1508">
      <c r="A1508" s="43" t="n"/>
      <c r="B1508" s="44" t="n"/>
      <c r="C1508" s="43" t="n"/>
      <c r="D1508" s="19" t="inlineStr">
        <is>
          <t>Other Required:</t>
        </is>
      </c>
      <c r="E1508" s="35" t="inlineStr">
        <is>
          <t>Capture</t>
        </is>
      </c>
      <c r="F1508" s="35" t="n"/>
      <c r="G1508" s="35" t="n"/>
      <c r="H1508" s="35" t="n"/>
      <c r="I1508" s="35" t="n"/>
      <c r="J1508" s="16" t="n"/>
    </row>
    <row r="1509">
      <c r="A1509" s="41" t="b">
        <v>1</v>
      </c>
      <c r="B1509" s="31" t="inlineStr">
        <is>
          <t>Cold Room: Moon Shards in the Cold Room</t>
        </is>
      </c>
      <c r="C1509" s="35" t="n"/>
      <c r="D1509" s="12" t="inlineStr">
        <is>
          <t>Minimum Jump Height:</t>
        </is>
      </c>
      <c r="E1509" s="34" t="inlineStr">
        <is>
          <t>Single Jump (258)</t>
        </is>
      </c>
      <c r="F1509" s="34" t="n"/>
      <c r="G1509" s="34" t="n"/>
      <c r="H1509" s="34" t="n"/>
      <c r="I1509" s="34" t="n"/>
      <c r="J1509" s="16" t="n"/>
    </row>
    <row r="1510">
      <c r="B1510" s="42" t="n"/>
      <c r="D1510" s="12" t="inlineStr">
        <is>
          <t>Cap Throws that work:</t>
        </is>
      </c>
      <c r="E1510" s="34" t="inlineStr">
        <is>
          <t>No Cap Throw Needed</t>
        </is>
      </c>
      <c r="F1510" s="34" t="n"/>
      <c r="G1510" s="34" t="n"/>
      <c r="H1510" s="34" t="n"/>
      <c r="I1510" s="34" t="n"/>
      <c r="J1510" s="16" t="n"/>
    </row>
    <row r="1511">
      <c r="A1511" s="43" t="n"/>
      <c r="B1511" s="44" t="n"/>
      <c r="C1511" s="43" t="n"/>
      <c r="D1511" s="19" t="inlineStr">
        <is>
          <t>Other Required:</t>
        </is>
      </c>
      <c r="E1511" s="35" t="inlineStr">
        <is>
          <t>None</t>
        </is>
      </c>
      <c r="F1511" s="35" t="n"/>
      <c r="G1511" s="35" t="n"/>
      <c r="H1511" s="35" t="n"/>
      <c r="I1511" s="35" t="n"/>
      <c r="J1511" s="16" t="n"/>
    </row>
    <row r="1512">
      <c r="A1512" s="41" t="b">
        <v>1</v>
      </c>
      <c r="B1512" s="31" t="inlineStr">
        <is>
          <t>Cold Room: Slip Behind the Ice</t>
        </is>
      </c>
      <c r="C1512" s="35" t="n"/>
      <c r="D1512" s="12" t="inlineStr">
        <is>
          <t>Minimum Jump Height:</t>
        </is>
      </c>
      <c r="E1512" s="34" t="inlineStr">
        <is>
          <t>Single Jump (258)</t>
        </is>
      </c>
      <c r="F1512" s="34" t="n"/>
      <c r="G1512" s="34" t="n"/>
      <c r="H1512" s="34" t="n"/>
      <c r="I1512" s="34" t="n"/>
      <c r="J1512" s="16" t="n"/>
    </row>
    <row r="1513">
      <c r="B1513" s="42" t="n"/>
      <c r="D1513" s="12" t="inlineStr">
        <is>
          <t>Cap Throws that work:</t>
        </is>
      </c>
      <c r="E1513" s="34" t="inlineStr">
        <is>
          <t>No Cap Throw Needed</t>
        </is>
      </c>
      <c r="F1513" s="34" t="n"/>
      <c r="G1513" s="34" t="n"/>
      <c r="H1513" s="34" t="n"/>
      <c r="I1513" s="34" t="n"/>
      <c r="J1513" s="16" t="n"/>
    </row>
    <row r="1514">
      <c r="A1514" s="43" t="n"/>
      <c r="B1514" s="44" t="n"/>
      <c r="C1514" s="43" t="n"/>
      <c r="D1514" s="19" t="inlineStr">
        <is>
          <t>Other Required:</t>
        </is>
      </c>
      <c r="E1514" s="35" t="inlineStr">
        <is>
          <t>None</t>
        </is>
      </c>
      <c r="F1514" s="35" t="n"/>
      <c r="G1514" s="35" t="n"/>
      <c r="H1514" s="35" t="n"/>
      <c r="I1514" s="35" t="n"/>
      <c r="J1514" s="16" t="n"/>
    </row>
    <row r="1515">
      <c r="A1515" s="41" t="b">
        <v>1</v>
      </c>
      <c r="B1515" s="31" t="inlineStr">
        <is>
          <t>Spinning Above the Clouds: Spinning Above the Clouds</t>
        </is>
      </c>
      <c r="C1515" s="35" t="n"/>
      <c r="D1515" s="12" t="inlineStr">
        <is>
          <t>Minimum Jump Height:</t>
        </is>
      </c>
      <c r="E1515" s="34" t="inlineStr">
        <is>
          <t>Single Jump (258)</t>
        </is>
      </c>
      <c r="F1515" s="34" t="inlineStr">
        <is>
          <t>Single Jump (258)</t>
        </is>
      </c>
      <c r="G1515" s="34" t="n"/>
      <c r="H1515" s="34" t="n"/>
      <c r="I1515" s="34" t="n"/>
      <c r="J1515" s="16" t="n"/>
    </row>
    <row r="1516">
      <c r="B1516" s="42" t="n"/>
      <c r="D1516" s="12" t="inlineStr">
        <is>
          <t>Cap Throws that work:</t>
        </is>
      </c>
      <c r="E1516" s="34" t="inlineStr">
        <is>
          <t>Neutral Throw, Up Throw, Down Throw, Spin Throw</t>
        </is>
      </c>
      <c r="F1516" s="34" t="inlineStr">
        <is>
          <t>No Cap Throw Needed</t>
        </is>
      </c>
      <c r="G1516" s="34" t="n"/>
      <c r="H1516" s="34" t="n"/>
      <c r="I1516" s="34" t="n"/>
      <c r="J1516" s="16" t="n"/>
    </row>
    <row r="1517">
      <c r="A1517" s="43" t="n"/>
      <c r="B1517" s="44" t="n"/>
      <c r="C1517" s="43" t="n"/>
      <c r="D1517" s="19" t="inlineStr">
        <is>
          <t>Other Required:</t>
        </is>
      </c>
      <c r="E1517" s="35" t="inlineStr">
        <is>
          <t>None</t>
        </is>
      </c>
      <c r="F1517" s="35" t="inlineStr">
        <is>
          <t>Ground Pound</t>
        </is>
      </c>
      <c r="G1517" s="35" t="n"/>
      <c r="H1517" s="35" t="n"/>
      <c r="I1517" s="35" t="n"/>
      <c r="J1517" s="16" t="n"/>
    </row>
    <row r="1518">
      <c r="A1518" s="41" t="b">
        <v>1</v>
      </c>
      <c r="B1518" s="31" t="inlineStr">
        <is>
          <t>Spinning Above the Clouds: High-Altitude Spinning</t>
        </is>
      </c>
      <c r="C1518" s="35" t="n"/>
      <c r="D1518" s="12" t="inlineStr">
        <is>
          <t>Minimum Jump Height:</t>
        </is>
      </c>
      <c r="E1518" s="34" t="inlineStr">
        <is>
          <t>Single Jump (258)</t>
        </is>
      </c>
      <c r="F1518" s="34" t="inlineStr">
        <is>
          <t>Single Jump (258)</t>
        </is>
      </c>
      <c r="G1518" s="34" t="n"/>
      <c r="H1518" s="34" t="n"/>
      <c r="I1518" s="34" t="n"/>
      <c r="J1518" s="16" t="n"/>
    </row>
    <row r="1519">
      <c r="B1519" s="42" t="n"/>
      <c r="D1519" s="12" t="inlineStr">
        <is>
          <t>Cap Throws that work:</t>
        </is>
      </c>
      <c r="E1519" s="34" t="inlineStr">
        <is>
          <t>Neutral Throw, Up Throw, Down Throw, Spin Throw</t>
        </is>
      </c>
      <c r="F1519" s="34" t="inlineStr">
        <is>
          <t>No Cap Throw Needed</t>
        </is>
      </c>
      <c r="G1519" s="34" t="n"/>
      <c r="H1519" s="34" t="n"/>
      <c r="I1519" s="34" t="n"/>
      <c r="J1519" s="16" t="n"/>
    </row>
    <row r="1520">
      <c r="A1520" s="43" t="n"/>
      <c r="B1520" s="44" t="n"/>
      <c r="C1520" s="43" t="n"/>
      <c r="D1520" s="19" t="inlineStr">
        <is>
          <t>Other Required:</t>
        </is>
      </c>
      <c r="E1520" s="35" t="inlineStr">
        <is>
          <t>None</t>
        </is>
      </c>
      <c r="F1520" s="35" t="inlineStr">
        <is>
          <t>Ground Pound</t>
        </is>
      </c>
      <c r="G1520" s="35" t="n"/>
      <c r="H1520" s="35" t="n"/>
      <c r="I1520" s="35" t="n"/>
      <c r="J1520" s="16" t="n"/>
    </row>
    <row r="1521">
      <c r="A1521" s="41" t="b">
        <v>1</v>
      </c>
      <c r="B1521" s="31" t="inlineStr">
        <is>
          <t>Snow Kingdom: Secret Path to Shiveria!</t>
        </is>
      </c>
      <c r="C1521" s="35" t="n"/>
      <c r="D1521" s="12" t="inlineStr">
        <is>
          <t>Minimum Jump Height:</t>
        </is>
      </c>
      <c r="E1521" s="34" t="inlineStr">
        <is>
          <t>Long Jump</t>
        </is>
      </c>
      <c r="F1521" s="34" t="inlineStr">
        <is>
          <t>Long Jump</t>
        </is>
      </c>
      <c r="G1521" s="34" t="n"/>
      <c r="H1521" s="34" t="n"/>
      <c r="I1521" s="34" t="n"/>
      <c r="J1521" s="16" t="n"/>
    </row>
    <row r="1522">
      <c r="B1522" s="42" t="n"/>
      <c r="D1522" s="12" t="inlineStr">
        <is>
          <t>Cap Throws that work:</t>
        </is>
      </c>
      <c r="E1522" s="34" t="inlineStr">
        <is>
          <t>No Cap Throw Needed</t>
        </is>
      </c>
      <c r="F1522" s="34" t="inlineStr">
        <is>
          <t>Neutral Throw, Down Throw, Up Throw, Spin Throw</t>
        </is>
      </c>
      <c r="G1522" s="34" t="n"/>
      <c r="H1522" s="34" t="n"/>
      <c r="I1522" s="34" t="n"/>
      <c r="J1522" s="16" t="n"/>
    </row>
    <row r="1523">
      <c r="A1523" s="43" t="n"/>
      <c r="B1523" s="44" t="n"/>
      <c r="C1523" s="43" t="n"/>
      <c r="D1523" s="19" t="inlineStr">
        <is>
          <t>Other Required:</t>
        </is>
      </c>
      <c r="E1523" s="35" t="inlineStr">
        <is>
          <t>, Ground Pound</t>
        </is>
      </c>
      <c r="F1523" s="35" t="inlineStr">
        <is>
          <t>, Ground Pound</t>
        </is>
      </c>
      <c r="G1523" s="35" t="n"/>
      <c r="H1523" s="35" t="n"/>
      <c r="I1523" s="35" t="n"/>
      <c r="J1523" s="16" t="n"/>
    </row>
    <row r="1524">
      <c r="A1524" s="41" t="b">
        <v>1</v>
      </c>
      <c r="B1524" s="31" t="inlineStr">
        <is>
          <t>Shiveria Town: Found with Snow Kingdom Art</t>
        </is>
      </c>
      <c r="C1524" s="35" t="n"/>
      <c r="D1524" s="12" t="inlineStr">
        <is>
          <t>Minimum Jump Height:</t>
        </is>
      </c>
      <c r="E1524" s="34" t="inlineStr">
        <is>
          <t>Single Jump (258)</t>
        </is>
      </c>
      <c r="F1524" s="34" t="n"/>
      <c r="G1524" s="34" t="n"/>
      <c r="H1524" s="34" t="n"/>
      <c r="I1524" s="34" t="n"/>
      <c r="J1524" s="16" t="n"/>
    </row>
    <row r="1525">
      <c r="B1525" s="42" t="n"/>
      <c r="D1525" s="12" t="inlineStr">
        <is>
          <t>Cap Throws that work:</t>
        </is>
      </c>
      <c r="E1525" s="34" t="inlineStr">
        <is>
          <t>No Cap Throw Needed</t>
        </is>
      </c>
      <c r="F1525" s="34" t="n"/>
      <c r="G1525" s="34" t="n"/>
      <c r="H1525" s="34" t="n"/>
      <c r="I1525" s="34" t="n"/>
      <c r="J1525" s="16" t="n"/>
    </row>
    <row r="1526">
      <c r="A1526" s="43" t="n"/>
      <c r="B1526" s="44" t="n"/>
      <c r="C1526" s="43" t="n"/>
      <c r="D1526" s="19" t="inlineStr">
        <is>
          <t>Other Required:</t>
        </is>
      </c>
      <c r="E1526" s="35" t="n"/>
      <c r="F1526" s="35" t="n"/>
      <c r="G1526" s="35" t="n"/>
      <c r="H1526" s="35" t="n"/>
      <c r="I1526" s="35" t="n"/>
      <c r="J1526" s="16" t="n"/>
    </row>
    <row r="1527">
      <c r="A1527" s="41" t="b">
        <v>1</v>
      </c>
      <c r="B1527" s="31" t="inlineStr">
        <is>
          <t>Snow Kingdom: Snow Kingdom Regular Cup</t>
        </is>
      </c>
      <c r="C1527" s="35" t="n"/>
      <c r="D1527" s="12" t="inlineStr">
        <is>
          <t>Minimum Jump Height:</t>
        </is>
      </c>
      <c r="E1527" s="34" t="inlineStr">
        <is>
          <t>No Jump Needed</t>
        </is>
      </c>
      <c r="F1527" s="34" t="inlineStr">
        <is>
          <t>Single Jump (258)</t>
        </is>
      </c>
      <c r="G1527" s="34" t="n"/>
      <c r="H1527" s="34" t="n"/>
      <c r="I1527" s="34" t="n"/>
      <c r="J1527" s="16" t="n"/>
    </row>
    <row r="1528">
      <c r="B1528" s="42" t="n"/>
      <c r="D1528" s="12" t="inlineStr">
        <is>
          <t>Cap Throws that work:</t>
        </is>
      </c>
      <c r="E1528" s="34" t="inlineStr">
        <is>
          <t>Up Throw, Neutral Throw, Down Throw, Spin Throw</t>
        </is>
      </c>
      <c r="F1528" s="34" t="inlineStr">
        <is>
          <t>No Cap Throw Needed</t>
        </is>
      </c>
      <c r="G1528" s="34" t="n"/>
      <c r="H1528" s="34" t="n"/>
      <c r="I1528" s="34" t="n"/>
      <c r="J1528" s="16" t="n"/>
    </row>
    <row r="1529">
      <c r="A1529" s="43" t="n"/>
      <c r="B1529" s="44" t="n"/>
      <c r="C1529" s="43" t="n"/>
      <c r="D1529" s="19" t="inlineStr">
        <is>
          <t>Other Required:</t>
        </is>
      </c>
      <c r="E1529" s="35" t="n"/>
      <c r="F1529" s="35" t="inlineStr">
        <is>
          <t xml:space="preserve">Ground Pound, </t>
        </is>
      </c>
      <c r="G1529" s="35" t="n"/>
      <c r="H1529" s="35" t="n"/>
      <c r="I1529" s="35" t="n"/>
      <c r="J1529" s="16" t="n"/>
    </row>
    <row r="1530">
      <c r="A1530" s="41" t="b">
        <v>1</v>
      </c>
      <c r="B1530" s="31" t="inlineStr">
        <is>
          <t>Class A Lobby: Hat-and-Seek in the Snow</t>
        </is>
      </c>
      <c r="C1530" s="35" t="n"/>
      <c r="D1530" s="12" t="inlineStr">
        <is>
          <t>Minimum Jump Height:</t>
        </is>
      </c>
      <c r="E1530" s="34" t="inlineStr">
        <is>
          <t>Long Jump</t>
        </is>
      </c>
      <c r="F1530" s="34" t="n"/>
      <c r="G1530" s="34" t="n"/>
      <c r="H1530" s="34" t="n"/>
      <c r="I1530" s="34" t="n"/>
      <c r="J1530" s="16" t="n"/>
    </row>
    <row r="1531">
      <c r="B1531" s="42" t="n"/>
      <c r="D1531" s="12" t="inlineStr">
        <is>
          <t>Cap Throws that work:</t>
        </is>
      </c>
      <c r="E1531" s="34" t="inlineStr">
        <is>
          <t>No Cap Throw Needed</t>
        </is>
      </c>
      <c r="F1531" s="34" t="n"/>
      <c r="G1531" s="34" t="n"/>
      <c r="H1531" s="34" t="n"/>
      <c r="I1531" s="34" t="n"/>
      <c r="J1531" s="16" t="n"/>
    </row>
    <row r="1532">
      <c r="A1532" s="43" t="n"/>
      <c r="B1532" s="44" t="n"/>
      <c r="C1532" s="43" t="n"/>
      <c r="D1532" s="19" t="inlineStr">
        <is>
          <t>Other Required:</t>
        </is>
      </c>
      <c r="E1532" s="35" t="inlineStr">
        <is>
          <t>None</t>
        </is>
      </c>
      <c r="F1532" s="35" t="n"/>
      <c r="G1532" s="35" t="n"/>
      <c r="H1532" s="35" t="n"/>
      <c r="I1532" s="35" t="n"/>
      <c r="J1532" s="16" t="n"/>
    </row>
    <row r="1533">
      <c r="A1533" s="41" t="b">
        <v>1</v>
      </c>
      <c r="B1533" s="31" t="inlineStr">
        <is>
          <t>Shiveria Town: Peach in the Snow Kingdom</t>
        </is>
      </c>
      <c r="C1533" s="35" t="n"/>
      <c r="D1533" s="12" t="inlineStr">
        <is>
          <t>Minimum Jump Height:</t>
        </is>
      </c>
      <c r="E1533" s="34" t="inlineStr">
        <is>
          <t>Long Jump</t>
        </is>
      </c>
      <c r="F1533" s="34" t="n"/>
      <c r="G1533" s="34" t="n"/>
      <c r="H1533" s="34" t="n"/>
      <c r="I1533" s="34" t="n"/>
      <c r="J1533" s="16" t="n"/>
    </row>
    <row r="1534">
      <c r="B1534" s="42" t="n"/>
      <c r="D1534" s="12" t="inlineStr">
        <is>
          <t>Cap Throws that work:</t>
        </is>
      </c>
      <c r="E1534" s="34" t="inlineStr">
        <is>
          <t>No Cap Throw Needed</t>
        </is>
      </c>
      <c r="F1534" s="34" t="n"/>
      <c r="G1534" s="34" t="n"/>
      <c r="H1534" s="34" t="n"/>
      <c r="I1534" s="34" t="n"/>
      <c r="J1534" s="16" t="n"/>
    </row>
    <row r="1535">
      <c r="A1535" s="43" t="n"/>
      <c r="B1535" s="44" t="n"/>
      <c r="C1535" s="43" t="n"/>
      <c r="D1535" s="19" t="inlineStr">
        <is>
          <t>Other Required:</t>
        </is>
      </c>
      <c r="E1535" s="35" t="inlineStr">
        <is>
          <t>None</t>
        </is>
      </c>
      <c r="F1535" s="35" t="n"/>
      <c r="G1535" s="35" t="n"/>
      <c r="H1535" s="35" t="n"/>
      <c r="I1535" s="35" t="n"/>
      <c r="J1535" s="16" t="n"/>
    </row>
    <row r="1536">
      <c r="A1536" s="41" t="b">
        <v>1</v>
      </c>
      <c r="B1536" s="31" t="inlineStr">
        <is>
          <t>Snow Kingdom: Shining on High</t>
        </is>
      </c>
      <c r="C1536" s="35" t="n"/>
      <c r="D1536" s="12" t="inlineStr">
        <is>
          <t>Minimum Jump Height:</t>
        </is>
      </c>
      <c r="E1536" s="34" t="inlineStr">
        <is>
          <t>Triple Jump (550)</t>
        </is>
      </c>
      <c r="F1536" s="34" t="inlineStr">
        <is>
          <t>Single Jump (258)</t>
        </is>
      </c>
      <c r="G1536" s="34" t="n"/>
      <c r="H1536" s="34" t="n"/>
      <c r="I1536" s="34" t="n"/>
      <c r="J1536" s="16" t="n"/>
    </row>
    <row r="1537">
      <c r="B1537" s="42" t="n"/>
      <c r="D1537" s="12" t="inlineStr">
        <is>
          <t>Cap Throws that work:</t>
        </is>
      </c>
      <c r="E1537" s="34" t="inlineStr">
        <is>
          <t>No Cap Throw Needed</t>
        </is>
      </c>
      <c r="F1537" s="34" t="inlineStr">
        <is>
          <t>Neutral Throw, Down Throw, Up Throw, Spin Throw</t>
        </is>
      </c>
      <c r="G1537" s="34" t="n"/>
      <c r="H1537" s="34" t="n"/>
      <c r="I1537" s="34" t="n"/>
      <c r="J1537" s="16" t="n"/>
    </row>
    <row r="1538">
      <c r="A1538" s="43" t="n"/>
      <c r="B1538" s="44" t="n"/>
      <c r="C1538" s="43" t="n"/>
      <c r="D1538" s="19" t="inlineStr">
        <is>
          <t>Other Required:</t>
        </is>
      </c>
      <c r="E1538" s="35" t="inlineStr">
        <is>
          <t>None</t>
        </is>
      </c>
      <c r="F1538" s="35" t="inlineStr">
        <is>
          <t>Dive</t>
        </is>
      </c>
      <c r="G1538" s="35" t="n"/>
      <c r="H1538" s="35" t="n"/>
      <c r="I1538" s="35" t="n"/>
      <c r="J1538" s="16" t="n"/>
    </row>
    <row r="1539">
      <c r="A1539" s="41" t="b">
        <v>1</v>
      </c>
      <c r="B1539" s="31" t="inlineStr">
        <is>
          <t>Snow Kingdom: Above the Freezing Fishing Pond</t>
        </is>
      </c>
      <c r="C1539" s="35" t="n"/>
      <c r="D1539" s="12" t="inlineStr">
        <is>
          <t>Minimum Jump Height:</t>
        </is>
      </c>
      <c r="E1539" s="34" t="inlineStr">
        <is>
          <t>No Jump Needed</t>
        </is>
      </c>
      <c r="F1539" s="34" t="n"/>
      <c r="G1539" s="34" t="n"/>
      <c r="H1539" s="34" t="n"/>
      <c r="I1539" s="34" t="n"/>
      <c r="J1539" s="16" t="n"/>
    </row>
    <row r="1540">
      <c r="B1540" s="42" t="n"/>
      <c r="D1540" s="12" t="inlineStr">
        <is>
          <t>Cap Throws that work:</t>
        </is>
      </c>
      <c r="E1540" s="34" t="inlineStr">
        <is>
          <t>No Cap Throw Needed</t>
        </is>
      </c>
      <c r="F1540" s="34" t="n"/>
      <c r="G1540" s="34" t="n"/>
      <c r="H1540" s="34" t="n"/>
      <c r="I1540" s="34" t="n"/>
      <c r="J1540" s="16" t="n"/>
    </row>
    <row r="1541">
      <c r="A1541" s="43" t="n"/>
      <c r="B1541" s="44" t="n"/>
      <c r="C1541" s="43" t="n"/>
      <c r="D1541" s="19" t="inlineStr">
        <is>
          <t>Other Required:</t>
        </is>
      </c>
      <c r="E1541" s="35" t="inlineStr">
        <is>
          <t>None</t>
        </is>
      </c>
      <c r="F1541" s="35" t="n"/>
      <c r="G1541" s="35" t="n"/>
      <c r="H1541" s="35" t="n"/>
      <c r="I1541" s="35" t="n"/>
      <c r="J1541" s="16" t="n"/>
    </row>
    <row r="1542">
      <c r="A1542" s="41" t="b">
        <v>1</v>
      </c>
      <c r="B1542" s="31" t="inlineStr">
        <is>
          <t>Snow Kingdom: Ice Floe Swimming</t>
        </is>
      </c>
      <c r="C1542" s="35" t="n"/>
      <c r="D1542" s="12" t="inlineStr">
        <is>
          <t>Minimum Jump Height:</t>
        </is>
      </c>
      <c r="E1542" s="34" t="inlineStr">
        <is>
          <t>No Jump Needed</t>
        </is>
      </c>
      <c r="F1542" s="34" t="n"/>
      <c r="G1542" s="34" t="n"/>
      <c r="H1542" s="34" t="n"/>
      <c r="I1542" s="34" t="n"/>
      <c r="J1542" s="16" t="n"/>
    </row>
    <row r="1543">
      <c r="B1543" s="42" t="n"/>
      <c r="D1543" s="12" t="inlineStr">
        <is>
          <t>Cap Throws that work:</t>
        </is>
      </c>
      <c r="E1543" s="34" t="inlineStr">
        <is>
          <t>No Cap Throw Needed</t>
        </is>
      </c>
      <c r="F1543" s="34" t="n"/>
      <c r="G1543" s="34" t="n"/>
      <c r="H1543" s="34" t="n"/>
      <c r="I1543" s="34" t="n"/>
      <c r="J1543" s="16" t="n"/>
    </row>
    <row r="1544">
      <c r="A1544" s="43" t="n"/>
      <c r="B1544" s="44" t="n"/>
      <c r="C1544" s="43" t="n"/>
      <c r="D1544" s="19" t="inlineStr">
        <is>
          <t>Other Required:</t>
        </is>
      </c>
      <c r="E1544" s="35" t="inlineStr">
        <is>
          <t>None</t>
        </is>
      </c>
      <c r="F1544" s="35" t="n"/>
      <c r="G1544" s="35" t="n"/>
      <c r="H1544" s="35" t="n"/>
      <c r="I1544" s="35" t="n"/>
      <c r="J1544" s="16" t="n"/>
    </row>
    <row r="1545">
      <c r="A1545" s="41" t="b">
        <v>1</v>
      </c>
      <c r="B1545" s="31" t="inlineStr">
        <is>
          <t>Snow Kingdom: Icy Jump Challenge</t>
        </is>
      </c>
      <c r="C1545" s="35" t="n"/>
      <c r="D1545" s="12" t="inlineStr">
        <is>
          <t>Minimum Jump Height:</t>
        </is>
      </c>
      <c r="E1545" s="34" t="inlineStr">
        <is>
          <t>Double Jump (312)</t>
        </is>
      </c>
      <c r="F1545" s="34" t="n"/>
      <c r="G1545" s="34" t="n"/>
      <c r="H1545" s="34" t="n"/>
      <c r="I1545" s="34" t="n"/>
      <c r="J1545" s="16" t="n"/>
    </row>
    <row r="1546">
      <c r="B1546" s="42" t="n"/>
      <c r="D1546" s="12" t="inlineStr">
        <is>
          <t>Cap Throws that work:</t>
        </is>
      </c>
      <c r="E1546" s="34" t="inlineStr">
        <is>
          <t>Neutral Throw, Up Throw, Down Throw, Spin Throw</t>
        </is>
      </c>
      <c r="F1546" s="34" t="n"/>
      <c r="G1546" s="34" t="n"/>
      <c r="H1546" s="34" t="n"/>
      <c r="I1546" s="34" t="n"/>
      <c r="J1546" s="16" t="n"/>
    </row>
    <row r="1547">
      <c r="A1547" s="43" t="n"/>
      <c r="B1547" s="44" t="n"/>
      <c r="C1547" s="43" t="n"/>
      <c r="D1547" s="19" t="inlineStr">
        <is>
          <t>Other Required:</t>
        </is>
      </c>
      <c r="E1547" s="35" t="inlineStr">
        <is>
          <t>None</t>
        </is>
      </c>
      <c r="F1547" s="35" t="n"/>
      <c r="G1547" s="35" t="n"/>
      <c r="H1547" s="35" t="n"/>
      <c r="I1547" s="35" t="n"/>
      <c r="J1547" s="16" t="n"/>
    </row>
    <row r="1548">
      <c r="A1548" s="41" t="b">
        <v>1</v>
      </c>
      <c r="B1548" s="31" t="inlineStr">
        <is>
          <t>Class A Lobby: Forgotten in the Holding Room</t>
        </is>
      </c>
      <c r="C1548" s="35" t="n"/>
      <c r="D1548" s="12" t="inlineStr">
        <is>
          <t>Minimum Jump Height:</t>
        </is>
      </c>
      <c r="E1548" s="34" t="inlineStr">
        <is>
          <t>Single Jump (258)</t>
        </is>
      </c>
      <c r="F1548" s="34" t="inlineStr">
        <is>
          <t>Single Jump (258)</t>
        </is>
      </c>
      <c r="G1548" s="34" t="n"/>
      <c r="H1548" s="34" t="n"/>
      <c r="I1548" s="34" t="n"/>
      <c r="J1548" s="16" t="n"/>
    </row>
    <row r="1549">
      <c r="B1549" s="42" t="n"/>
      <c r="D1549" s="12" t="inlineStr">
        <is>
          <t>Cap Throws that work:</t>
        </is>
      </c>
      <c r="E1549" s="34" t="inlineStr">
        <is>
          <t>Neutral Throw, Down Throw, Up Throw, Spin Throw</t>
        </is>
      </c>
      <c r="F1549" s="34" t="inlineStr">
        <is>
          <t>No Cap Throw Needed</t>
        </is>
      </c>
      <c r="G1549" s="34" t="n"/>
      <c r="H1549" s="34" t="n"/>
      <c r="I1549" s="34" t="n"/>
      <c r="J1549" s="16" t="n"/>
    </row>
    <row r="1550">
      <c r="A1550" s="43" t="n"/>
      <c r="B1550" s="44" t="n"/>
      <c r="C1550" s="43" t="n"/>
      <c r="D1550" s="19" t="inlineStr">
        <is>
          <t>Other Required:</t>
        </is>
      </c>
      <c r="E1550" s="35" t="inlineStr">
        <is>
          <t>None</t>
        </is>
      </c>
      <c r="F1550" s="35" t="inlineStr">
        <is>
          <t>Roll</t>
        </is>
      </c>
      <c r="G1550" s="35" t="n"/>
      <c r="H1550" s="35" t="n"/>
      <c r="I1550" s="35" t="n"/>
      <c r="J1550" s="16" t="n"/>
    </row>
    <row r="1551">
      <c r="A1551" s="41" t="b">
        <v>1</v>
      </c>
      <c r="B1551" s="31" t="inlineStr">
        <is>
          <t>Snow Kingdom: It Popped Out of the Ice</t>
        </is>
      </c>
      <c r="C1551" s="35" t="n"/>
      <c r="D1551" s="12" t="inlineStr">
        <is>
          <t>Minimum Jump Height:</t>
        </is>
      </c>
      <c r="E1551" s="34" t="inlineStr">
        <is>
          <t>Backflip/Vault/Side Flip (496)</t>
        </is>
      </c>
      <c r="F1551" s="34" t="n"/>
      <c r="G1551" s="34" t="n"/>
      <c r="H1551" s="34" t="n"/>
      <c r="I1551" s="34" t="n"/>
      <c r="J1551" s="16" t="n"/>
    </row>
    <row r="1552">
      <c r="B1552" s="42" t="n"/>
      <c r="D1552" s="12" t="inlineStr">
        <is>
          <t>Cap Throws that work:</t>
        </is>
      </c>
      <c r="E1552" s="34" t="inlineStr">
        <is>
          <t>No Cap Throw Needed</t>
        </is>
      </c>
      <c r="F1552" s="34" t="n"/>
      <c r="G1552" s="34" t="n"/>
      <c r="H1552" s="34" t="n"/>
      <c r="I1552" s="34" t="n"/>
      <c r="J1552" s="16" t="n"/>
    </row>
    <row r="1553">
      <c r="A1553" s="43" t="n"/>
      <c r="B1553" s="44" t="n"/>
      <c r="C1553" s="43" t="n"/>
      <c r="D1553" s="19" t="inlineStr">
        <is>
          <t>Other Required:</t>
        </is>
      </c>
      <c r="E1553" s="35" t="inlineStr">
        <is>
          <t>, Ground Pound</t>
        </is>
      </c>
      <c r="F1553" s="35" t="n"/>
      <c r="G1553" s="35" t="n"/>
      <c r="H1553" s="35" t="n"/>
      <c r="I1553" s="35" t="n"/>
      <c r="J1553" s="16" t="n"/>
    </row>
    <row r="1554">
      <c r="A1554" s="41" t="b">
        <v>1</v>
      </c>
      <c r="B1554" s="31" t="inlineStr">
        <is>
          <t>Snow Kingdom: Deep in the Cold, Cold Water</t>
        </is>
      </c>
      <c r="C1554" s="35" t="n"/>
      <c r="D1554" s="12" t="inlineStr">
        <is>
          <t>Minimum Jump Height:</t>
        </is>
      </c>
      <c r="E1554" s="34" t="inlineStr">
        <is>
          <t>No Jump Needed</t>
        </is>
      </c>
      <c r="F1554" s="34" t="n"/>
      <c r="G1554" s="34" t="n"/>
      <c r="H1554" s="34" t="n"/>
      <c r="I1554" s="34" t="n"/>
      <c r="J1554" s="16" t="n"/>
    </row>
    <row r="1555">
      <c r="B1555" s="42" t="n"/>
      <c r="D1555" s="12" t="inlineStr">
        <is>
          <t>Cap Throws that work:</t>
        </is>
      </c>
      <c r="E1555" s="34" t="inlineStr">
        <is>
          <t>No Cap Throw Needed</t>
        </is>
      </c>
      <c r="F1555" s="34" t="n"/>
      <c r="G1555" s="34" t="n"/>
      <c r="H1555" s="34" t="n"/>
      <c r="I1555" s="34" t="n"/>
      <c r="J1555" s="16" t="n"/>
    </row>
    <row r="1556">
      <c r="A1556" s="43" t="n"/>
      <c r="B1556" s="44" t="n"/>
      <c r="C1556" s="43" t="n"/>
      <c r="D1556" s="19" t="inlineStr">
        <is>
          <t>Other Required:</t>
        </is>
      </c>
      <c r="E1556" s="35" t="inlineStr">
        <is>
          <t>Ground Pound</t>
        </is>
      </c>
      <c r="F1556" s="35" t="n"/>
      <c r="G1556" s="35" t="n"/>
      <c r="H1556" s="35" t="n"/>
      <c r="I1556" s="35" t="n"/>
      <c r="J1556" s="16" t="n"/>
    </row>
    <row r="1557">
      <c r="A1557" s="41" t="b">
        <v>1</v>
      </c>
      <c r="B1557" s="31" t="inlineStr">
        <is>
          <t>Snow Kingdom: Water Pooling in the Crevasse</t>
        </is>
      </c>
      <c r="C1557" s="35" t="n"/>
      <c r="D1557" s="12" t="inlineStr">
        <is>
          <t>Minimum Jump Height:</t>
        </is>
      </c>
      <c r="E1557" s="34" t="inlineStr">
        <is>
          <t>Long Jump</t>
        </is>
      </c>
      <c r="F1557" s="34" t="n"/>
      <c r="G1557" s="34" t="n"/>
      <c r="H1557" s="34" t="n"/>
      <c r="I1557" s="34" t="n"/>
      <c r="J1557" s="16" t="n"/>
    </row>
    <row r="1558">
      <c r="B1558" s="42" t="n"/>
      <c r="D1558" s="12" t="inlineStr">
        <is>
          <t>Cap Throws that work:</t>
        </is>
      </c>
      <c r="E1558" s="34" t="inlineStr">
        <is>
          <t>No Cap Throw Needed</t>
        </is>
      </c>
      <c r="F1558" s="34" t="n"/>
      <c r="G1558" s="34" t="n"/>
      <c r="H1558" s="34" t="n"/>
      <c r="I1558" s="34" t="n"/>
      <c r="J1558" s="16" t="n"/>
    </row>
    <row r="1559">
      <c r="A1559" s="43" t="n"/>
      <c r="B1559" s="44" t="n"/>
      <c r="C1559" s="43" t="n"/>
      <c r="D1559" s="19" t="inlineStr">
        <is>
          <t>Other Required:</t>
        </is>
      </c>
      <c r="E1559" s="35" t="inlineStr">
        <is>
          <t>Ground Pound</t>
        </is>
      </c>
      <c r="F1559" s="35" t="n"/>
      <c r="G1559" s="35" t="n"/>
      <c r="H1559" s="35" t="n"/>
      <c r="I1559" s="35" t="n"/>
      <c r="J1559" s="16" t="n"/>
    </row>
    <row r="1560">
      <c r="A1560" s="41" t="b">
        <v>1</v>
      </c>
      <c r="B1560" s="31" t="inlineStr">
        <is>
          <t>Snow Kingdom: Squirming Under Ice</t>
        </is>
      </c>
      <c r="C1560" s="35" t="n"/>
      <c r="D1560" s="12" t="inlineStr">
        <is>
          <t>Minimum Jump Height:</t>
        </is>
      </c>
      <c r="E1560" s="34" t="inlineStr">
        <is>
          <t>Single Jump (258)</t>
        </is>
      </c>
      <c r="F1560" s="34" t="n"/>
      <c r="G1560" s="34" t="n"/>
      <c r="H1560" s="34" t="n"/>
      <c r="I1560" s="34" t="n"/>
      <c r="J1560" s="16" t="n"/>
    </row>
    <row r="1561">
      <c r="B1561" s="42" t="n"/>
      <c r="D1561" s="12" t="inlineStr">
        <is>
          <t>Cap Throws that work:</t>
        </is>
      </c>
      <c r="E1561" s="34" t="inlineStr">
        <is>
          <t>No Cap Throw Needed</t>
        </is>
      </c>
      <c r="F1561" s="34" t="n"/>
      <c r="G1561" s="34" t="n"/>
      <c r="H1561" s="34" t="n"/>
      <c r="I1561" s="34" t="n"/>
      <c r="J1561" s="16" t="n"/>
    </row>
    <row r="1562">
      <c r="A1562" s="43" t="n"/>
      <c r="B1562" s="44" t="n"/>
      <c r="C1562" s="43" t="n"/>
      <c r="D1562" s="19" t="inlineStr">
        <is>
          <t>Other Required:</t>
        </is>
      </c>
      <c r="E1562" s="35" t="inlineStr">
        <is>
          <t>Ground Pound</t>
        </is>
      </c>
      <c r="F1562" s="35" t="n"/>
      <c r="G1562" s="35" t="n"/>
      <c r="H1562" s="35" t="n"/>
      <c r="I1562" s="35" t="n"/>
      <c r="J1562" s="16" t="n"/>
    </row>
    <row r="1563">
      <c r="A1563" s="41" t="b">
        <v>1</v>
      </c>
      <c r="B1563" s="31" t="inlineStr">
        <is>
          <t>Snow Kingdom: Snow Kingdom Timer Challenge 3</t>
        </is>
      </c>
      <c r="C1563" s="35" t="n"/>
      <c r="D1563" s="12" t="inlineStr">
        <is>
          <t>Minimum Jump Height:</t>
        </is>
      </c>
      <c r="E1563" s="34" t="inlineStr">
        <is>
          <t>Single Jump (258)</t>
        </is>
      </c>
      <c r="F1563" s="34" t="n"/>
      <c r="G1563" s="34" t="n"/>
      <c r="H1563" s="34" t="n"/>
      <c r="I1563" s="34" t="n"/>
      <c r="J1563" s="16" t="n"/>
    </row>
    <row r="1564">
      <c r="B1564" s="42" t="n"/>
      <c r="D1564" s="12" t="inlineStr">
        <is>
          <t>Cap Throws that work:</t>
        </is>
      </c>
      <c r="E1564" s="34" t="inlineStr">
        <is>
          <t>No Cap Throw Needed</t>
        </is>
      </c>
      <c r="F1564" s="34" t="n"/>
      <c r="G1564" s="34" t="n"/>
      <c r="H1564" s="34" t="n"/>
      <c r="I1564" s="34" t="n"/>
      <c r="J1564" s="16" t="n"/>
    </row>
    <row r="1565">
      <c r="A1565" s="43" t="n"/>
      <c r="B1565" s="44" t="n"/>
      <c r="C1565" s="43" t="n"/>
      <c r="D1565" s="19" t="inlineStr">
        <is>
          <t>Other Required:</t>
        </is>
      </c>
      <c r="E1565" s="35" t="inlineStr">
        <is>
          <t>None</t>
        </is>
      </c>
      <c r="F1565" s="35" t="n"/>
      <c r="G1565" s="35" t="n"/>
      <c r="H1565" s="35" t="n"/>
      <c r="I1565" s="35" t="n"/>
      <c r="J1565" s="16" t="n"/>
    </row>
    <row r="1566">
      <c r="A1566" s="41" t="b">
        <v>1</v>
      </c>
      <c r="B1566" s="31" t="inlineStr">
        <is>
          <t>Snow Kingdom: Stacked-Up Ice Climb</t>
        </is>
      </c>
      <c r="C1566" s="35" t="inlineStr">
        <is>
          <t>Goomba</t>
        </is>
      </c>
      <c r="D1566" s="12" t="inlineStr">
        <is>
          <t>Minimum Jump Height:</t>
        </is>
      </c>
      <c r="E1566" s="34" t="inlineStr">
        <is>
          <t>Long Jump</t>
        </is>
      </c>
      <c r="F1566" s="34" t="n"/>
      <c r="G1566" s="34" t="n"/>
      <c r="H1566" s="34" t="n"/>
      <c r="I1566" s="34" t="n"/>
      <c r="J1566" s="16" t="n"/>
    </row>
    <row r="1567">
      <c r="B1567" s="42" t="n"/>
      <c r="D1567" s="12" t="inlineStr">
        <is>
          <t>Cap Throws that work:</t>
        </is>
      </c>
      <c r="E1567" s="34" t="inlineStr">
        <is>
          <t>Neutral Throw, Down Throw, Up Throw, Spin Throw</t>
        </is>
      </c>
      <c r="F1567" s="34" t="n"/>
      <c r="G1567" s="34" t="n"/>
      <c r="H1567" s="34" t="n"/>
      <c r="I1567" s="34" t="n"/>
      <c r="J1567" s="16" t="n"/>
    </row>
    <row r="1568">
      <c r="A1568" s="43" t="n"/>
      <c r="B1568" s="44" t="n"/>
      <c r="C1568" s="43" t="n"/>
      <c r="D1568" s="19" t="inlineStr">
        <is>
          <t>Other Required:</t>
        </is>
      </c>
      <c r="E1568" s="35" t="inlineStr">
        <is>
          <t>Capture</t>
        </is>
      </c>
      <c r="F1568" s="35" t="n"/>
      <c r="G1568" s="35" t="n"/>
      <c r="H1568" s="35" t="n"/>
      <c r="I1568" s="35" t="n"/>
      <c r="J1568" s="16" t="n"/>
    </row>
    <row r="1569">
      <c r="A1569" s="41" t="b">
        <v>1</v>
      </c>
      <c r="B1569" s="31" t="inlineStr">
        <is>
          <t>Snow Kingdom: I Met a Snow Cheep Cheep!</t>
        </is>
      </c>
      <c r="C1569" s="35" t="inlineStr">
        <is>
          <t>Snow Cheep Cheep</t>
        </is>
      </c>
      <c r="D1569" s="12" t="inlineStr">
        <is>
          <t>Minimum Jump Height:</t>
        </is>
      </c>
      <c r="E1569" s="34" t="inlineStr">
        <is>
          <t>No Jump Needed</t>
        </is>
      </c>
      <c r="F1569" s="34" t="n"/>
      <c r="G1569" s="34" t="n"/>
      <c r="H1569" s="34" t="n"/>
      <c r="I1569" s="34" t="n"/>
      <c r="J1569" s="16" t="n"/>
    </row>
    <row r="1570">
      <c r="B1570" s="42" t="n"/>
      <c r="D1570" s="12" t="inlineStr">
        <is>
          <t>Cap Throws that work:</t>
        </is>
      </c>
      <c r="E1570" s="34" t="inlineStr">
        <is>
          <t>Neutral Throw, Up Throw, Down Throw, Spin Throw</t>
        </is>
      </c>
      <c r="F1570" s="34" t="n"/>
      <c r="G1570" s="34" t="n"/>
      <c r="H1570" s="34" t="n"/>
      <c r="I1570" s="34" t="n"/>
      <c r="J1570" s="16" t="n"/>
    </row>
    <row r="1571">
      <c r="A1571" s="43" t="n"/>
      <c r="B1571" s="44" t="n"/>
      <c r="C1571" s="43" t="n"/>
      <c r="D1571" s="19" t="inlineStr">
        <is>
          <t>Other Required:</t>
        </is>
      </c>
      <c r="E1571" s="35" t="inlineStr">
        <is>
          <t>None</t>
        </is>
      </c>
      <c r="F1571" s="35" t="n"/>
      <c r="G1571" s="35" t="n"/>
      <c r="H1571" s="35" t="n"/>
      <c r="I1571" s="35" t="n"/>
      <c r="J1571" s="16" t="n"/>
    </row>
    <row r="1572">
      <c r="A1572" s="41" t="b">
        <v>1</v>
      </c>
      <c r="B1572" s="31" t="inlineStr">
        <is>
          <t>Shards in the Cold Room: Even More Walking on Ice!</t>
        </is>
      </c>
      <c r="C1572" s="35" t="n"/>
      <c r="D1572" s="12" t="inlineStr">
        <is>
          <t>Minimum Jump Height:</t>
        </is>
      </c>
      <c r="E1572" s="34" t="inlineStr">
        <is>
          <t>No Jump Needed</t>
        </is>
      </c>
      <c r="F1572" s="34" t="n"/>
      <c r="G1572" s="34" t="n"/>
      <c r="H1572" s="34" t="n"/>
      <c r="I1572" s="34" t="n"/>
      <c r="J1572" s="16" t="n"/>
    </row>
    <row r="1573">
      <c r="B1573" s="42" t="n"/>
      <c r="D1573" s="12" t="inlineStr">
        <is>
          <t>Cap Throws that work:</t>
        </is>
      </c>
      <c r="E1573" s="34" t="inlineStr">
        <is>
          <t>Neutral Throw, Up Throw, Down Throw, Spin Throw</t>
        </is>
      </c>
      <c r="F1573" s="34" t="n"/>
      <c r="G1573" s="34" t="n"/>
      <c r="H1573" s="34" t="n"/>
      <c r="I1573" s="34" t="n"/>
      <c r="J1573" s="16" t="n"/>
    </row>
    <row r="1574">
      <c r="A1574" s="43" t="n"/>
      <c r="B1574" s="44" t="n"/>
      <c r="C1574" s="43" t="n"/>
      <c r="D1574" s="19" t="inlineStr">
        <is>
          <t>Other Required:</t>
        </is>
      </c>
      <c r="E1574" s="35" t="inlineStr">
        <is>
          <t>None</t>
        </is>
      </c>
      <c r="F1574" s="35" t="n"/>
      <c r="G1574" s="35" t="n"/>
      <c r="H1574" s="35" t="n"/>
      <c r="I1574" s="35" t="n"/>
      <c r="J1574" s="16" t="n"/>
    </row>
    <row r="1575">
      <c r="A1575" s="41" t="b">
        <v>1</v>
      </c>
      <c r="B1575" s="31" t="inlineStr">
        <is>
          <t>Snow Kingdom: Snow Kingdom Master Cup</t>
        </is>
      </c>
      <c r="C1575" s="35" t="n"/>
      <c r="D1575" s="12" t="inlineStr">
        <is>
          <t>Minimum Jump Height:</t>
        </is>
      </c>
      <c r="E1575" s="34" t="inlineStr">
        <is>
          <t>No Jump Needed</t>
        </is>
      </c>
      <c r="F1575" s="34" t="inlineStr">
        <is>
          <t>Single Jump (258)</t>
        </is>
      </c>
      <c r="G1575" s="34" t="n"/>
      <c r="H1575" s="34" t="n"/>
      <c r="I1575" s="34" t="n"/>
      <c r="J1575" s="16" t="n"/>
    </row>
    <row r="1576">
      <c r="B1576" s="42" t="n"/>
      <c r="D1576" s="12" t="inlineStr">
        <is>
          <t>Cap Throws that work:</t>
        </is>
      </c>
      <c r="E1576" s="34" t="inlineStr">
        <is>
          <t>Up Throw, Neutral Throw, Down Throw, Spin Throw</t>
        </is>
      </c>
      <c r="F1576" s="34" t="inlineStr">
        <is>
          <t>No Cap Throw Needed</t>
        </is>
      </c>
      <c r="G1576" s="34" t="n"/>
      <c r="H1576" s="34" t="n"/>
      <c r="I1576" s="34" t="n"/>
      <c r="J1576" s="16" t="n"/>
    </row>
    <row r="1577">
      <c r="A1577" s="43" t="n"/>
      <c r="B1577" s="44" t="n"/>
      <c r="C1577" s="43" t="n"/>
      <c r="D1577" s="19" t="inlineStr">
        <is>
          <t>Other Required:</t>
        </is>
      </c>
      <c r="E1577" s="35" t="n"/>
      <c r="F1577" s="35" t="inlineStr">
        <is>
          <t xml:space="preserve">Ground Pound, </t>
        </is>
      </c>
      <c r="G1577" s="35" t="n"/>
      <c r="H1577" s="35" t="n"/>
      <c r="I1577" s="35" t="n"/>
      <c r="J1577" s="16" t="n"/>
    </row>
    <row r="1578">
      <c r="A1578" s="41" t="b">
        <v>1</v>
      </c>
      <c r="B1578" s="31" t="inlineStr">
        <is>
          <t>Class S Lobby: Iceburn Circuit Class A</t>
        </is>
      </c>
      <c r="C1578" s="35" t="inlineStr">
        <is>
          <t>Shiverian Racer</t>
        </is>
      </c>
      <c r="D1578" s="12" t="inlineStr">
        <is>
          <t>Minimum Jump Height:</t>
        </is>
      </c>
      <c r="E1578" s="34" t="inlineStr">
        <is>
          <t>No Jump Needed</t>
        </is>
      </c>
      <c r="F1578" s="34" t="n"/>
      <c r="G1578" s="34" t="n"/>
      <c r="H1578" s="34" t="n"/>
      <c r="I1578" s="34" t="n"/>
      <c r="J1578" s="16" t="n"/>
    </row>
    <row r="1579">
      <c r="B1579" s="42" t="n"/>
      <c r="D1579" s="12" t="inlineStr">
        <is>
          <t>Cap Throws that work:</t>
        </is>
      </c>
      <c r="E1579" s="34" t="inlineStr">
        <is>
          <t>Neutral Throw, Up Throw, Spin Throw, Down Throw</t>
        </is>
      </c>
      <c r="F1579" s="34" t="n"/>
      <c r="G1579" s="34" t="n"/>
      <c r="H1579" s="34" t="n"/>
      <c r="I1579" s="34" t="n"/>
      <c r="J1579" s="16" t="n"/>
    </row>
    <row r="1580">
      <c r="A1580" s="43" t="n"/>
      <c r="B1580" s="44" t="n"/>
      <c r="C1580" s="43" t="n"/>
      <c r="D1580" s="19" t="inlineStr">
        <is>
          <t>Other Required:</t>
        </is>
      </c>
      <c r="E1580" s="35" t="inlineStr">
        <is>
          <t>Capture</t>
        </is>
      </c>
      <c r="F1580" s="35" t="n"/>
      <c r="G1580" s="35" t="n"/>
      <c r="H1580" s="35" t="n"/>
      <c r="I1580" s="35" t="n"/>
      <c r="J1580" s="16" t="n"/>
    </row>
    <row r="1581">
      <c r="A1581" s="41" t="b">
        <v>1</v>
      </c>
      <c r="B1581" s="31" t="inlineStr">
        <is>
          <t>Class S Lobby: Iceburn Circuit Class S</t>
        </is>
      </c>
      <c r="C1581" s="35" t="inlineStr">
        <is>
          <t>Shiverian Racer</t>
        </is>
      </c>
      <c r="D1581" s="12" t="inlineStr">
        <is>
          <t>Minimum Jump Height:</t>
        </is>
      </c>
      <c r="E1581" s="34" t="inlineStr">
        <is>
          <t>No Jump Needed</t>
        </is>
      </c>
      <c r="F1581" s="34" t="n"/>
      <c r="G1581" s="34" t="n"/>
      <c r="H1581" s="34" t="n"/>
      <c r="I1581" s="34" t="n"/>
      <c r="J1581" s="16" t="n"/>
    </row>
    <row r="1582">
      <c r="B1582" s="42" t="n"/>
      <c r="D1582" s="12" t="inlineStr">
        <is>
          <t>Cap Throws that work:</t>
        </is>
      </c>
      <c r="E1582" s="34" t="inlineStr">
        <is>
          <t>Neutral Throw, Up Throw, Spin Throw, Down Throw</t>
        </is>
      </c>
      <c r="F1582" s="34" t="n"/>
      <c r="G1582" s="34" t="n"/>
      <c r="H1582" s="34" t="n"/>
      <c r="I1582" s="34" t="n"/>
      <c r="J1582" s="16" t="n"/>
    </row>
    <row r="1583">
      <c r="A1583" s="43" t="n"/>
      <c r="B1583" s="44" t="n"/>
      <c r="C1583" s="43" t="n"/>
      <c r="D1583" s="19" t="inlineStr">
        <is>
          <t>Other Required:</t>
        </is>
      </c>
      <c r="E1583" s="35" t="inlineStr">
        <is>
          <t>Capture</t>
        </is>
      </c>
      <c r="F1583" s="35" t="n"/>
      <c r="G1583" s="35" t="n"/>
      <c r="H1583" s="35" t="n"/>
      <c r="I1583" s="35" t="n"/>
      <c r="J1583" s="16" t="n"/>
    </row>
    <row r="1584">
      <c r="A1584" s="41" t="b">
        <v>1</v>
      </c>
      <c r="B1584" s="31" t="inlineStr">
        <is>
          <t>Wintery Flower Road: Running the Flower Road</t>
        </is>
      </c>
      <c r="C1584" s="35" t="n"/>
      <c r="D1584" s="12" t="inlineStr">
        <is>
          <t>Minimum Jump Height:</t>
        </is>
      </c>
      <c r="E1584" s="34" t="inlineStr">
        <is>
          <t>Single Jump (258)</t>
        </is>
      </c>
      <c r="F1584" s="34" t="n"/>
      <c r="G1584" s="34" t="n"/>
      <c r="H1584" s="34" t="n"/>
      <c r="I1584" s="34" t="n"/>
      <c r="J1584" s="16" t="n"/>
    </row>
    <row r="1585">
      <c r="B1585" s="42" t="n"/>
      <c r="D1585" s="12" t="inlineStr">
        <is>
          <t>Cap Throws that work:</t>
        </is>
      </c>
      <c r="E1585" s="34" t="inlineStr">
        <is>
          <t>Neutral Throw, Up Throw, Down Throw, Spin Throw</t>
        </is>
      </c>
      <c r="F1585" s="34" t="n"/>
      <c r="G1585" s="34" t="n"/>
      <c r="H1585" s="34" t="n"/>
      <c r="I1585" s="34" t="n"/>
      <c r="J1585" s="16" t="n"/>
    </row>
    <row r="1586">
      <c r="A1586" s="43" t="n"/>
      <c r="B1586" s="44" t="n"/>
      <c r="C1586" s="43" t="n"/>
      <c r="D1586" s="19" t="inlineStr">
        <is>
          <t>Other Required:</t>
        </is>
      </c>
      <c r="E1586" s="35" t="inlineStr">
        <is>
          <t>None</t>
        </is>
      </c>
      <c r="F1586" s="35" t="n"/>
      <c r="G1586" s="35" t="n"/>
      <c r="H1586" s="35" t="n"/>
      <c r="I1586" s="35" t="n"/>
      <c r="J1586" s="16" t="n"/>
    </row>
    <row r="1587">
      <c r="A1587" s="41" t="b">
        <v>1</v>
      </c>
      <c r="B1587" s="31" t="inlineStr">
        <is>
          <t>Wintery Flower Road: Looking Back on the Flower Road</t>
        </is>
      </c>
      <c r="C1587" s="35" t="n"/>
      <c r="D1587" s="12" t="inlineStr">
        <is>
          <t>Minimum Jump Height:</t>
        </is>
      </c>
      <c r="E1587" s="34" t="inlineStr">
        <is>
          <t>Single Jump (258)</t>
        </is>
      </c>
      <c r="F1587" s="34" t="n"/>
      <c r="G1587" s="34" t="n"/>
      <c r="H1587" s="34" t="n"/>
      <c r="I1587" s="34" t="n"/>
      <c r="J1587" s="16" t="n"/>
    </row>
    <row r="1588">
      <c r="B1588" s="42" t="n"/>
      <c r="D1588" s="12" t="inlineStr">
        <is>
          <t>Cap Throws that work:</t>
        </is>
      </c>
      <c r="E1588" s="34" t="inlineStr">
        <is>
          <t>Neutral Throw, Up Throw, Down Throw, Spin Throw</t>
        </is>
      </c>
      <c r="F1588" s="34" t="n"/>
      <c r="G1588" s="34" t="n"/>
      <c r="H1588" s="34" t="n"/>
      <c r="I1588" s="34" t="n"/>
      <c r="J1588" s="16" t="n"/>
    </row>
    <row r="1589">
      <c r="A1589" s="43" t="n"/>
      <c r="B1589" s="44" t="n"/>
      <c r="C1589" s="43" t="n"/>
      <c r="D1589" s="19" t="inlineStr">
        <is>
          <t>Other Required:</t>
        </is>
      </c>
      <c r="E1589" s="35" t="inlineStr">
        <is>
          <t>None</t>
        </is>
      </c>
      <c r="F1589" s="35" t="n"/>
      <c r="G1589" s="35" t="n"/>
      <c r="H1589" s="35" t="n"/>
      <c r="I1589" s="35" t="n"/>
      <c r="J1589" s="16" t="n"/>
    </row>
    <row r="1590">
      <c r="A1590" s="41" t="b">
        <v>1</v>
      </c>
      <c r="B1590" s="31" t="inlineStr">
        <is>
          <t>Luncheon Kingdom: The Broodals Are After Some Cookin'</t>
        </is>
      </c>
      <c r="C1590" s="35" t="inlineStr">
        <is>
          <t>Lava Bubble, Goomba</t>
        </is>
      </c>
      <c r="D1590" s="12" t="inlineStr">
        <is>
          <t>Minimum Jump Height:</t>
        </is>
      </c>
      <c r="E1590" s="34" t="inlineStr">
        <is>
          <t>Backflip/Vault/Side Flip (496)</t>
        </is>
      </c>
      <c r="F1590" s="34" t="inlineStr">
        <is>
          <t>Long Jump</t>
        </is>
      </c>
      <c r="G1590" s="34" t="inlineStr">
        <is>
          <t>Cap Return Jump (400)</t>
        </is>
      </c>
      <c r="H1590" s="34" t="inlineStr">
        <is>
          <t>Backflip/Vault/Side Flip (496)</t>
        </is>
      </c>
      <c r="I1590" s="34" t="n"/>
      <c r="J1590" s="16" t="n"/>
    </row>
    <row r="1591">
      <c r="B1591" s="42" t="n"/>
      <c r="D1591" s="12" t="inlineStr">
        <is>
          <t>Cap Throws that work:</t>
        </is>
      </c>
      <c r="E1591" s="34" t="inlineStr">
        <is>
          <t>Up Throw, Neutral Throw, Spin Throw, Down Throw</t>
        </is>
      </c>
      <c r="F1591" s="34" t="inlineStr">
        <is>
          <t>Neutral Throw, Up Throw, Down Throw, Spin Throw</t>
        </is>
      </c>
      <c r="G1591" s="34" t="inlineStr">
        <is>
          <t>Up Throw</t>
        </is>
      </c>
      <c r="H1591" s="34" t="inlineStr">
        <is>
          <t>No Cap Throw Needed</t>
        </is>
      </c>
      <c r="I1591" s="34" t="n"/>
      <c r="J1591" s="16" t="n"/>
    </row>
    <row r="1592">
      <c r="A1592" s="43" t="n"/>
      <c r="B1592" s="44" t="n"/>
      <c r="C1592" s="43" t="n"/>
      <c r="D1592" s="19" t="inlineStr">
        <is>
          <t>Other Required:</t>
        </is>
      </c>
      <c r="E1592" s="35" t="inlineStr">
        <is>
          <t>Dive</t>
        </is>
      </c>
      <c r="F1592" s="35" t="inlineStr">
        <is>
          <t>Capture</t>
        </is>
      </c>
      <c r="G1592" s="35" t="inlineStr">
        <is>
          <t>Capture</t>
        </is>
      </c>
      <c r="H1592" s="35" t="inlineStr">
        <is>
          <t xml:space="preserve">Wall Slide, </t>
        </is>
      </c>
      <c r="I1592" s="35" t="n"/>
      <c r="J1592" s="16" t="n"/>
    </row>
    <row r="1593">
      <c r="A1593" s="41" t="b">
        <v>1</v>
      </c>
      <c r="B1593" s="31" t="inlineStr">
        <is>
          <t>Luncheon Kingdom: Under the Cheese Rocks</t>
        </is>
      </c>
      <c r="C1593" s="34" t="inlineStr">
        <is>
          <t>Hammer Bro</t>
        </is>
      </c>
      <c r="D1593" s="12" t="inlineStr">
        <is>
          <t>Minimum Jump Height:</t>
        </is>
      </c>
      <c r="E1593" s="34" t="inlineStr">
        <is>
          <t>Ground Pound Jump (514)</t>
        </is>
      </c>
      <c r="F1593" s="34" t="inlineStr">
        <is>
          <t>Single Jump (258)</t>
        </is>
      </c>
      <c r="G1593" s="34" t="n"/>
      <c r="H1593" s="34" t="n"/>
      <c r="I1593" s="34" t="n"/>
      <c r="J1593" s="16" t="n"/>
    </row>
    <row r="1594">
      <c r="B1594" s="42" t="n"/>
      <c r="C1594" s="34" t="inlineStr">
        <is>
          <t>Hammer Bro, Lava Bubble</t>
        </is>
      </c>
      <c r="D1594" s="12" t="inlineStr">
        <is>
          <t>Cap Throws that work:</t>
        </is>
      </c>
      <c r="E1594" s="34" t="inlineStr">
        <is>
          <t>Neutral Throw</t>
        </is>
      </c>
      <c r="F1594" s="34" t="inlineStr">
        <is>
          <t>Neutral Throw, Up Throw, Down Throw, Spin Throw</t>
        </is>
      </c>
      <c r="G1594" s="34" t="n"/>
      <c r="H1594" s="34" t="n"/>
      <c r="I1594" s="34" t="n"/>
      <c r="J1594" s="16" t="n"/>
    </row>
    <row r="1595">
      <c r="A1595" s="43" t="n"/>
      <c r="B1595" s="44" t="n"/>
      <c r="C1595" s="35" t="n"/>
      <c r="D1595" s="19" t="inlineStr">
        <is>
          <t>Other Required:</t>
        </is>
      </c>
      <c r="E1595" s="35" t="inlineStr">
        <is>
          <t>Capture, Wall Slide, Dive</t>
        </is>
      </c>
      <c r="F1595" s="35" t="inlineStr">
        <is>
          <t>Capture</t>
        </is>
      </c>
      <c r="G1595" s="35" t="n"/>
      <c r="H1595" s="35" t="n"/>
      <c r="I1595" s="35" t="n"/>
      <c r="J1595" s="16" t="n"/>
    </row>
    <row r="1596">
      <c r="A1596" s="41" t="b">
        <v>1</v>
      </c>
      <c r="B1596" s="31" t="inlineStr">
        <is>
          <t>Luncheon Kingdom: Big Pot on the Volcano: Dive In!</t>
        </is>
      </c>
      <c r="C1596" s="35" t="inlineStr">
        <is>
          <t>Meat</t>
        </is>
      </c>
      <c r="D1596" s="12" t="inlineStr">
        <is>
          <t>Minimum Jump Height:</t>
        </is>
      </c>
      <c r="E1596" s="34" t="inlineStr">
        <is>
          <t>Single Jump (258)</t>
        </is>
      </c>
      <c r="F1596" s="34" t="inlineStr">
        <is>
          <t>Backflip/Vault/Side Flip (496)</t>
        </is>
      </c>
      <c r="G1596" s="34" t="n"/>
      <c r="H1596" s="34" t="n"/>
      <c r="I1596" s="34" t="n"/>
      <c r="J1596" s="16" t="n"/>
    </row>
    <row r="1597">
      <c r="B1597" s="42" t="n"/>
      <c r="D1597" s="12" t="inlineStr">
        <is>
          <t>Cap Throws that work:</t>
        </is>
      </c>
      <c r="E1597" s="34" t="inlineStr">
        <is>
          <t>Neutral Throw, Up Throw, Down Throw, Spin Throw</t>
        </is>
      </c>
      <c r="F1597" s="34" t="inlineStr">
        <is>
          <t>No Cap Throw Needed</t>
        </is>
      </c>
      <c r="G1597" s="34" t="n"/>
      <c r="H1597" s="34" t="n"/>
      <c r="I1597" s="34" t="n"/>
      <c r="J1597" s="16" t="n"/>
    </row>
    <row r="1598">
      <c r="A1598" s="43" t="n"/>
      <c r="B1598" s="44" t="n"/>
      <c r="C1598" s="43" t="n"/>
      <c r="D1598" s="19" t="inlineStr">
        <is>
          <t>Other Required:</t>
        </is>
      </c>
      <c r="E1598" s="35" t="inlineStr">
        <is>
          <t>Capture</t>
        </is>
      </c>
      <c r="F1598" s="35" t="inlineStr">
        <is>
          <t>Dive, Capture</t>
        </is>
      </c>
      <c r="G1598" s="35" t="n"/>
      <c r="H1598" s="35" t="n"/>
      <c r="I1598" s="35" t="n"/>
      <c r="J1598" s="16" t="n"/>
    </row>
    <row r="1599">
      <c r="A1599" s="41" t="b">
        <v>1</v>
      </c>
      <c r="B1599" s="31" t="inlineStr">
        <is>
          <t>Luncheon Kingdom: Climb Up the Cascading Magma</t>
        </is>
      </c>
      <c r="C1599" s="35" t="inlineStr">
        <is>
          <t>Lava Bubble</t>
        </is>
      </c>
      <c r="D1599" s="12" t="inlineStr">
        <is>
          <t>Minimum Jump Height:</t>
        </is>
      </c>
      <c r="E1599" s="34" t="inlineStr">
        <is>
          <t>Single Jump (258)</t>
        </is>
      </c>
      <c r="F1599" s="34" t="n"/>
      <c r="G1599" s="34" t="n"/>
      <c r="H1599" s="34" t="n"/>
      <c r="I1599" s="34" t="n"/>
      <c r="J1599" s="16" t="n"/>
    </row>
    <row r="1600">
      <c r="B1600" s="42" t="n"/>
      <c r="D1600" s="12" t="inlineStr">
        <is>
          <t>Cap Throws that work:</t>
        </is>
      </c>
      <c r="E1600" s="34" t="inlineStr">
        <is>
          <t>Neutral Throw, Up Throw, Down Throw, Spin Throw</t>
        </is>
      </c>
      <c r="F1600" s="34" t="n"/>
      <c r="G1600" s="34" t="n"/>
      <c r="H1600" s="34" t="n"/>
      <c r="I1600" s="34" t="n"/>
      <c r="J1600" s="16" t="n"/>
    </row>
    <row r="1601">
      <c r="A1601" s="43" t="n"/>
      <c r="B1601" s="44" t="n"/>
      <c r="C1601" s="43" t="n"/>
      <c r="D1601" s="19" t="inlineStr">
        <is>
          <t>Other Required:</t>
        </is>
      </c>
      <c r="E1601" s="35" t="inlineStr">
        <is>
          <t>Capture</t>
        </is>
      </c>
      <c r="F1601" s="35" t="n"/>
      <c r="G1601" s="35" t="n"/>
      <c r="H1601" s="35" t="n"/>
      <c r="I1601" s="35" t="n"/>
      <c r="J1601" s="16" t="n"/>
    </row>
    <row r="1602">
      <c r="A1602" s="41" t="b">
        <v>1</v>
      </c>
      <c r="B1602" s="31" t="inlineStr">
        <is>
          <t>Luncheon Kingdom: Cookatiel Showdown!</t>
        </is>
      </c>
      <c r="C1602" s="35" t="inlineStr">
        <is>
          <t>Volbonan, Lava Bubble</t>
        </is>
      </c>
      <c r="D1602" s="12" t="inlineStr">
        <is>
          <t>Minimum Jump Height:</t>
        </is>
      </c>
      <c r="E1602" s="34" t="inlineStr">
        <is>
          <t>Single Jump (258)</t>
        </is>
      </c>
      <c r="F1602" s="34" t="inlineStr">
        <is>
          <t>Backflip/Vault/Side Flip (496)</t>
        </is>
      </c>
      <c r="G1602" s="34" t="n"/>
      <c r="H1602" s="34" t="n"/>
      <c r="I1602" s="34" t="n"/>
      <c r="J1602" s="16" t="n"/>
    </row>
    <row r="1603">
      <c r="B1603" s="42" t="n"/>
      <c r="D1603" s="12" t="inlineStr">
        <is>
          <t>Cap Throws that work:</t>
        </is>
      </c>
      <c r="E1603" s="34" t="inlineStr">
        <is>
          <t>Neutral Throw, Up Throw, Down Throw, Spin Throw</t>
        </is>
      </c>
      <c r="F1603" s="34" t="inlineStr">
        <is>
          <t>No Cap Throw Needed</t>
        </is>
      </c>
      <c r="G1603" s="34" t="n"/>
      <c r="H1603" s="34" t="n"/>
      <c r="I1603" s="34" t="n"/>
      <c r="J1603" s="16" t="n"/>
    </row>
    <row r="1604">
      <c r="A1604" s="43" t="n"/>
      <c r="B1604" s="44" t="n"/>
      <c r="C1604" s="43" t="n"/>
      <c r="D1604" s="19" t="inlineStr">
        <is>
          <t>Other Required:</t>
        </is>
      </c>
      <c r="E1604" s="35" t="inlineStr">
        <is>
          <t>Capture</t>
        </is>
      </c>
      <c r="F1604" s="35" t="inlineStr">
        <is>
          <t>Wall Slide, Dive, Capture</t>
        </is>
      </c>
      <c r="G1604" s="35" t="n"/>
      <c r="H1604" s="35" t="n"/>
      <c r="I1604" s="35" t="n"/>
      <c r="J1604" s="16" t="n"/>
    </row>
    <row r="1605">
      <c r="A1605" s="41" t="b">
        <v>1</v>
      </c>
      <c r="B1605" s="31" t="inlineStr">
        <is>
          <t>Luncheon Kingdom: Piled on the Salt</t>
        </is>
      </c>
      <c r="C1605" s="35" t="inlineStr">
        <is>
          <t>Volbonan, Lava Bubble</t>
        </is>
      </c>
      <c r="D1605" s="12" t="inlineStr">
        <is>
          <t>Minimum Jump Height:</t>
        </is>
      </c>
      <c r="E1605" s="34" t="inlineStr">
        <is>
          <t>Backflip/Vault/Side Flip (496)</t>
        </is>
      </c>
      <c r="F1605" s="34" t="inlineStr">
        <is>
          <t>Long Jump</t>
        </is>
      </c>
      <c r="G1605" s="34" t="inlineStr">
        <is>
          <t>Single Jump (258)</t>
        </is>
      </c>
      <c r="H1605" s="34" t="n"/>
      <c r="I1605" s="34" t="n"/>
      <c r="J1605" s="16" t="inlineStr">
        <is>
          <t>This will change based on which loading zone you appear from, all methods except 3 assume you start at Odyssey</t>
        </is>
      </c>
    </row>
    <row r="1606">
      <c r="B1606" s="42" t="n"/>
      <c r="D1606" s="12" t="inlineStr">
        <is>
          <t>Cap Throws that work:</t>
        </is>
      </c>
      <c r="E1606" s="34" t="inlineStr">
        <is>
          <t>No Cap Throw Needed</t>
        </is>
      </c>
      <c r="F1606" s="34" t="inlineStr">
        <is>
          <t>Neutral Throw, Up Throw, Down Throw, Spin Throw</t>
        </is>
      </c>
      <c r="G1606" s="34" t="inlineStr">
        <is>
          <t>No Cap Throw Needed</t>
        </is>
      </c>
      <c r="H1606" s="34" t="n"/>
      <c r="I1606" s="34" t="n"/>
      <c r="J1606" s="16" t="n"/>
    </row>
    <row r="1607">
      <c r="A1607" s="43" t="n"/>
      <c r="B1607" s="44" t="n"/>
      <c r="C1607" s="43" t="n"/>
      <c r="D1607" s="19" t="inlineStr">
        <is>
          <t>Other Required:</t>
        </is>
      </c>
      <c r="E1607" s="35" t="inlineStr">
        <is>
          <t>Wall Slide, Dive</t>
        </is>
      </c>
      <c r="F1607" s="35" t="inlineStr">
        <is>
          <t>, Capture</t>
        </is>
      </c>
      <c r="G1607" s="35" t="inlineStr">
        <is>
          <t>None</t>
        </is>
      </c>
      <c r="H1607" s="35" t="n"/>
      <c r="I1607" s="35" t="n"/>
      <c r="J1607" s="16" t="n"/>
    </row>
    <row r="1608">
      <c r="A1608" s="41" t="b">
        <v>1</v>
      </c>
      <c r="B1608" s="31" t="inlineStr">
        <is>
          <t>Luncheon Kingdom: Lurking in the Pillar's Shadow</t>
        </is>
      </c>
      <c r="C1608" s="35" t="inlineStr">
        <is>
          <t>Lava Bubble</t>
        </is>
      </c>
      <c r="D1608" s="12" t="inlineStr">
        <is>
          <t>Minimum Jump Height:</t>
        </is>
      </c>
      <c r="E1608" s="34" t="inlineStr">
        <is>
          <t>Single Jump (258)</t>
        </is>
      </c>
      <c r="F1608" s="34" t="inlineStr">
        <is>
          <t>Single Jump (258)</t>
        </is>
      </c>
      <c r="G1608" s="34" t="inlineStr">
        <is>
          <t>Single Jump (258)</t>
        </is>
      </c>
      <c r="H1608" s="34" t="n"/>
      <c r="I1608" s="34" t="n"/>
      <c r="J1608" s="16" t="inlineStr">
        <is>
          <t>Same as Piled on Salt, method 3 is if you come from the town / Spewart area</t>
        </is>
      </c>
    </row>
    <row r="1609">
      <c r="B1609" s="42" t="n"/>
      <c r="D1609" s="12" t="inlineStr">
        <is>
          <t>Cap Throws that work:</t>
        </is>
      </c>
      <c r="E1609" s="34" t="inlineStr">
        <is>
          <t>No Cap Throw Needed</t>
        </is>
      </c>
      <c r="F1609" s="34" t="inlineStr">
        <is>
          <t>Neutral Throw, Up Throw, Down Throw, Spin Throw</t>
        </is>
      </c>
      <c r="G1609" s="34" t="inlineStr">
        <is>
          <t>No Cap Throw Needed</t>
        </is>
      </c>
      <c r="H1609" s="34" t="n"/>
      <c r="I1609" s="34" t="n"/>
      <c r="J1609" s="16" t="n"/>
    </row>
    <row r="1610">
      <c r="A1610" s="43" t="n"/>
      <c r="B1610" s="44" t="n"/>
      <c r="C1610" s="43" t="n"/>
      <c r="D1610" s="19" t="inlineStr">
        <is>
          <t>Other Required:</t>
        </is>
      </c>
      <c r="E1610" s="35" t="n"/>
      <c r="F1610" s="35" t="inlineStr">
        <is>
          <t>Capture</t>
        </is>
      </c>
      <c r="G1610" s="35" t="inlineStr">
        <is>
          <t>None</t>
        </is>
      </c>
      <c r="H1610" s="35" t="n"/>
      <c r="I1610" s="35" t="n"/>
      <c r="J1610" s="16" t="n"/>
    </row>
    <row r="1611">
      <c r="A1611" s="41" t="b">
        <v>1</v>
      </c>
      <c r="B1611" s="31" t="inlineStr">
        <is>
          <t>Luncheon Kingdom: Atop the Jutting Crag</t>
        </is>
      </c>
      <c r="C1611" s="35" t="inlineStr">
        <is>
          <t>Hammer Bro</t>
        </is>
      </c>
      <c r="D1611" s="12" t="inlineStr">
        <is>
          <t>Minimum Jump Height:</t>
        </is>
      </c>
      <c r="E1611" s="34" t="inlineStr">
        <is>
          <t>Backflip/Vault/Side Flip (496)</t>
        </is>
      </c>
      <c r="F1611" s="34" t="inlineStr">
        <is>
          <t>Single Jump (258)</t>
        </is>
      </c>
      <c r="G1611" s="34" t="n"/>
      <c r="H1611" s="34" t="n"/>
      <c r="I1611" s="34" t="n"/>
      <c r="J1611" s="16" t="n"/>
    </row>
    <row r="1612">
      <c r="B1612" s="42" t="n"/>
      <c r="D1612" s="12" t="inlineStr">
        <is>
          <t>Cap Throws that work:</t>
        </is>
      </c>
      <c r="E1612" s="34" t="inlineStr">
        <is>
          <t>Neutral Throw</t>
        </is>
      </c>
      <c r="F1612" s="34" t="inlineStr">
        <is>
          <t>Neutral Throw, Up Throw, Down Throw, Spin Throw</t>
        </is>
      </c>
      <c r="G1612" s="34" t="n"/>
      <c r="H1612" s="34" t="n"/>
      <c r="I1612" s="34" t="n"/>
      <c r="J1612" s="16" t="n"/>
    </row>
    <row r="1613">
      <c r="A1613" s="43" t="n"/>
      <c r="B1613" s="44" t="n"/>
      <c r="C1613" s="43" t="n"/>
      <c r="D1613" s="19" t="inlineStr">
        <is>
          <t>Other Required:</t>
        </is>
      </c>
      <c r="E1613" s="35" t="inlineStr">
        <is>
          <t>, Dive</t>
        </is>
      </c>
      <c r="F1613" s="35" t="inlineStr">
        <is>
          <t xml:space="preserve">Capture, </t>
        </is>
      </c>
      <c r="G1613" s="35" t="n"/>
      <c r="H1613" s="35" t="n"/>
      <c r="I1613" s="35" t="n"/>
      <c r="J1613" s="16" t="n"/>
    </row>
    <row r="1614">
      <c r="A1614" s="41" t="b">
        <v>1</v>
      </c>
      <c r="B1614" s="31" t="inlineStr">
        <is>
          <t>Luncheon Kingdom: Is This an Ingredient Too?!</t>
        </is>
      </c>
      <c r="C1614" s="35" t="inlineStr">
        <is>
          <t>Hammer Bro</t>
        </is>
      </c>
      <c r="D1614" s="12" t="inlineStr">
        <is>
          <t>Minimum Jump Height:</t>
        </is>
      </c>
      <c r="E1614" s="34" t="inlineStr">
        <is>
          <t>Cap Return Jump (400)</t>
        </is>
      </c>
      <c r="F1614" s="34" t="inlineStr">
        <is>
          <t>Single Jump (258)</t>
        </is>
      </c>
      <c r="G1614" s="34" t="n"/>
      <c r="H1614" s="34" t="n"/>
      <c r="I1614" s="34" t="n"/>
      <c r="J1614" s="16" t="n"/>
    </row>
    <row r="1615">
      <c r="B1615" s="42" t="n"/>
      <c r="D1615" s="12" t="inlineStr">
        <is>
          <t>Cap Throws that work:</t>
        </is>
      </c>
      <c r="E1615" s="34" t="inlineStr">
        <is>
          <t>Neutral Throw, Up Throw, Down Throw, Spin Throw</t>
        </is>
      </c>
      <c r="F1615" s="34" t="inlineStr">
        <is>
          <t>Neutral Throw, Up Throw, Down Throw, Spin Throw</t>
        </is>
      </c>
      <c r="G1615" s="34" t="n"/>
      <c r="H1615" s="34" t="n"/>
      <c r="I1615" s="34" t="n"/>
      <c r="J1615" s="16" t="n"/>
    </row>
    <row r="1616">
      <c r="A1616" s="43" t="n"/>
      <c r="B1616" s="44" t="n"/>
      <c r="C1616" s="43" t="n"/>
      <c r="D1616" s="19" t="inlineStr">
        <is>
          <t>Other Required:</t>
        </is>
      </c>
      <c r="E1616" s="35" t="n"/>
      <c r="F1616" s="35" t="inlineStr">
        <is>
          <t>Capture</t>
        </is>
      </c>
      <c r="G1616" s="35" t="n"/>
      <c r="H1616" s="35" t="n"/>
      <c r="I1616" s="35" t="n"/>
      <c r="J1616" s="16" t="n"/>
    </row>
    <row r="1617">
      <c r="A1617" s="41" t="b">
        <v>1</v>
      </c>
      <c r="B1617" s="31" t="inlineStr">
        <is>
          <t>Luncheon Kingdom: Atop a Column in a Row</t>
        </is>
      </c>
      <c r="C1617" s="35" t="n"/>
      <c r="D1617" s="12" t="inlineStr">
        <is>
          <t>Minimum Jump Height:</t>
        </is>
      </c>
      <c r="E1617" s="34" t="inlineStr">
        <is>
          <t>Long Jump</t>
        </is>
      </c>
      <c r="F1617" s="34" t="inlineStr">
        <is>
          <t>Single Jump (258)</t>
        </is>
      </c>
      <c r="G1617" s="34" t="n"/>
      <c r="H1617" s="34" t="n"/>
      <c r="I1617" s="34" t="n"/>
      <c r="J1617" s="16" t="n"/>
    </row>
    <row r="1618">
      <c r="B1618" s="42" t="n"/>
      <c r="D1618" s="12" t="inlineStr">
        <is>
          <t>Cap Throws that work:</t>
        </is>
      </c>
      <c r="E1618" s="34" t="inlineStr">
        <is>
          <t>Neutral Throw, Up Throw, Down Throw, Spin Throw</t>
        </is>
      </c>
      <c r="F1618" s="34" t="inlineStr">
        <is>
          <t>Neutral Throw, Up Throw, Down Throw, Spin Throw</t>
        </is>
      </c>
      <c r="G1618" s="34" t="n"/>
      <c r="H1618" s="34" t="n"/>
      <c r="I1618" s="34" t="n"/>
      <c r="J1618" s="16" t="n"/>
    </row>
    <row r="1619">
      <c r="A1619" s="43" t="n"/>
      <c r="B1619" s="44" t="n"/>
      <c r="C1619" s="43" t="n"/>
      <c r="D1619" s="19" t="inlineStr">
        <is>
          <t>Other Required:</t>
        </is>
      </c>
      <c r="E1619" s="35" t="inlineStr">
        <is>
          <t>None</t>
        </is>
      </c>
      <c r="F1619" s="35" t="inlineStr">
        <is>
          <t>None</t>
        </is>
      </c>
      <c r="G1619" s="35" t="n"/>
      <c r="H1619" s="35" t="n"/>
      <c r="I1619" s="35" t="n"/>
      <c r="J1619" s="16" t="n"/>
    </row>
    <row r="1620">
      <c r="A1620" s="41" t="b">
        <v>1</v>
      </c>
      <c r="B1620" s="31" t="inlineStr">
        <is>
          <t>Luncheon Kingdom: Surrounded by Tall Mountains</t>
        </is>
      </c>
      <c r="C1620" s="35" t="n"/>
      <c r="D1620" s="12" t="inlineStr">
        <is>
          <t>Minimum Jump Height:</t>
        </is>
      </c>
      <c r="E1620" s="34" t="inlineStr">
        <is>
          <t>Single Jump (258)</t>
        </is>
      </c>
      <c r="F1620" s="34" t="n"/>
      <c r="G1620" s="34" t="n"/>
      <c r="H1620" s="34" t="n"/>
      <c r="I1620" s="34" t="n"/>
      <c r="J1620" s="16" t="n"/>
    </row>
    <row r="1621">
      <c r="B1621" s="42" t="n"/>
      <c r="D1621" s="12" t="inlineStr">
        <is>
          <t>Cap Throws that work:</t>
        </is>
      </c>
      <c r="E1621" s="34" t="inlineStr">
        <is>
          <t>No Cap Throw Needed</t>
        </is>
      </c>
      <c r="F1621" s="34" t="n"/>
      <c r="G1621" s="34" t="n"/>
      <c r="H1621" s="34" t="n"/>
      <c r="I1621" s="34" t="n"/>
      <c r="J1621" s="16" t="n"/>
    </row>
    <row r="1622">
      <c r="A1622" s="43" t="n"/>
      <c r="B1622" s="44" t="n"/>
      <c r="C1622" s="43" t="n"/>
      <c r="D1622" s="19" t="inlineStr">
        <is>
          <t>Other Required:</t>
        </is>
      </c>
      <c r="E1622" s="35" t="inlineStr">
        <is>
          <t>Ground Pound</t>
        </is>
      </c>
      <c r="F1622" s="35" t="n"/>
      <c r="G1622" s="35" t="n"/>
      <c r="H1622" s="35" t="n"/>
      <c r="I1622" s="35" t="n"/>
      <c r="J1622" s="16" t="n"/>
    </row>
    <row r="1623">
      <c r="A1623" s="41" t="b">
        <v>1</v>
      </c>
      <c r="B1623" s="31" t="inlineStr">
        <is>
          <t>Luncheon Kingdom: Island of Salt Floating in the Lava</t>
        </is>
      </c>
      <c r="C1623" s="35" t="inlineStr">
        <is>
          <t>Lava Bubble</t>
        </is>
      </c>
      <c r="D1623" s="12" t="inlineStr">
        <is>
          <t>Minimum Jump Height:</t>
        </is>
      </c>
      <c r="E1623" s="34" t="inlineStr">
        <is>
          <t>Long Jump</t>
        </is>
      </c>
      <c r="F1623" s="34" t="inlineStr">
        <is>
          <t>Single Jump (258)</t>
        </is>
      </c>
      <c r="G1623" s="34" t="n"/>
      <c r="H1623" s="34" t="n"/>
      <c r="I1623" s="34" t="n"/>
      <c r="J1623" s="16" t="n"/>
    </row>
    <row r="1624">
      <c r="B1624" s="42" t="n"/>
      <c r="D1624" s="12" t="inlineStr">
        <is>
          <t>Cap Throws that work:</t>
        </is>
      </c>
      <c r="E1624" s="34" t="inlineStr">
        <is>
          <t>No Cap Throw Needed</t>
        </is>
      </c>
      <c r="F1624" s="34" t="inlineStr">
        <is>
          <t>Up Throw, Down Throw, Spin Throw, No Cap Throw Needed</t>
        </is>
      </c>
      <c r="G1624" s="34" t="n"/>
      <c r="H1624" s="34" t="n"/>
      <c r="I1624" s="34" t="n"/>
      <c r="J1624" s="16" t="n"/>
    </row>
    <row r="1625">
      <c r="A1625" s="43" t="n"/>
      <c r="B1625" s="44" t="n"/>
      <c r="C1625" s="43" t="n"/>
      <c r="D1625" s="19" t="inlineStr">
        <is>
          <t>Other Required:</t>
        </is>
      </c>
      <c r="E1625" s="35" t="inlineStr">
        <is>
          <t>, Ground Pound</t>
        </is>
      </c>
      <c r="F1625" s="35" t="inlineStr">
        <is>
          <t>Capture, Ground Pound</t>
        </is>
      </c>
      <c r="G1625" s="35" t="n"/>
      <c r="H1625" s="35" t="n"/>
      <c r="I1625" s="35" t="n"/>
      <c r="J1625" s="16" t="n"/>
    </row>
    <row r="1626">
      <c r="A1626" s="41" t="b">
        <v>1</v>
      </c>
      <c r="B1626" s="31" t="inlineStr">
        <is>
          <t>Luncheon Kingdom: Overlooking a Bunch of Ingredients</t>
        </is>
      </c>
      <c r="C1626" s="34" t="inlineStr">
        <is>
          <t>Lava Bubble</t>
        </is>
      </c>
      <c r="D1626" s="12" t="inlineStr">
        <is>
          <t>Minimum Jump Height:</t>
        </is>
      </c>
      <c r="E1626" s="34" t="inlineStr">
        <is>
          <t>Backflip/Vault/Side Flip (496)</t>
        </is>
      </c>
      <c r="F1626" s="34" t="inlineStr">
        <is>
          <t>Single Jump (258)</t>
        </is>
      </c>
      <c r="G1626" s="34" t="n"/>
      <c r="H1626" s="34" t="n"/>
      <c r="I1626" s="34" t="n"/>
      <c r="J1626" s="16" t="inlineStr">
        <is>
          <t>Can jump from top stew bowl as lava bubble, or bring hammer/ fire bro</t>
        </is>
      </c>
    </row>
    <row r="1627">
      <c r="B1627" s="42" t="n"/>
      <c r="C1627" s="34" t="inlineStr">
        <is>
          <t>Hammer Bro</t>
        </is>
      </c>
      <c r="D1627" s="12" t="inlineStr">
        <is>
          <t>Cap Throws that work:</t>
        </is>
      </c>
      <c r="E1627" s="34" t="inlineStr">
        <is>
          <t>Neutral Throw</t>
        </is>
      </c>
      <c r="F1627" s="34" t="inlineStr">
        <is>
          <t>Neutral Throw, Up Throw, Down Throw, Spin Throw</t>
        </is>
      </c>
      <c r="G1627" s="34" t="n"/>
      <c r="H1627" s="34" t="n"/>
      <c r="I1627" s="34" t="n"/>
      <c r="J1627" s="16" t="n"/>
    </row>
    <row r="1628">
      <c r="A1628" s="43" t="n"/>
      <c r="B1628" s="44" t="n"/>
      <c r="C1628" s="35" t="inlineStr">
        <is>
          <t>Fire Bro</t>
        </is>
      </c>
      <c r="D1628" s="19" t="inlineStr">
        <is>
          <t>Other Required:</t>
        </is>
      </c>
      <c r="E1628" s="35" t="inlineStr">
        <is>
          <t>Ground Pound, Dive</t>
        </is>
      </c>
      <c r="F1628" s="35" t="inlineStr">
        <is>
          <t>Capture, Ground Pound</t>
        </is>
      </c>
      <c r="G1628" s="35" t="n"/>
      <c r="H1628" s="35" t="n"/>
      <c r="I1628" s="35" t="n"/>
      <c r="J1628" s="16" t="n"/>
    </row>
    <row r="1629">
      <c r="A1629" s="41" t="b">
        <v>1</v>
      </c>
      <c r="B1629" s="31" t="inlineStr">
        <is>
          <t>Luncheon Kingdom: Light the Lantern on the Small Island</t>
        </is>
      </c>
      <c r="C1629" s="34" t="inlineStr">
        <is>
          <t>Fire Bro</t>
        </is>
      </c>
      <c r="D1629" s="12" t="inlineStr">
        <is>
          <t>Minimum Jump Height:</t>
        </is>
      </c>
      <c r="E1629" s="34" t="inlineStr">
        <is>
          <t>Single Jump (258)</t>
        </is>
      </c>
      <c r="F1629" s="34" t="n"/>
      <c r="G1629" s="34" t="n"/>
      <c r="H1629" s="34" t="n"/>
      <c r="I1629" s="34" t="n"/>
      <c r="J1629" s="16" t="n"/>
    </row>
    <row r="1630">
      <c r="B1630" s="42" t="n"/>
      <c r="C1630" s="34" t="inlineStr">
        <is>
          <t>Lava Bubble</t>
        </is>
      </c>
      <c r="D1630" s="12" t="inlineStr">
        <is>
          <t>Cap Throws that work:</t>
        </is>
      </c>
      <c r="E1630" s="34" t="inlineStr">
        <is>
          <t>Neutral Throw, Up Throw, Down Throw, Spin Throw</t>
        </is>
      </c>
      <c r="F1630" s="34" t="n"/>
      <c r="G1630" s="34" t="n"/>
      <c r="H1630" s="34" t="n"/>
      <c r="I1630" s="34" t="n"/>
      <c r="J1630" s="16" t="n"/>
    </row>
    <row r="1631">
      <c r="A1631" s="43" t="n"/>
      <c r="B1631" s="44" t="n"/>
      <c r="C1631" s="35" t="n"/>
      <c r="D1631" s="19" t="inlineStr">
        <is>
          <t>Other Required:</t>
        </is>
      </c>
      <c r="E1631" s="35" t="inlineStr">
        <is>
          <t>Capture</t>
        </is>
      </c>
      <c r="F1631" s="35" t="n"/>
      <c r="G1631" s="35" t="n"/>
      <c r="H1631" s="35" t="n"/>
      <c r="I1631" s="35" t="n"/>
      <c r="J1631" s="16" t="n"/>
    </row>
    <row r="1632">
      <c r="A1632" s="41" t="b">
        <v>1</v>
      </c>
      <c r="B1632" s="31" t="inlineStr">
        <is>
          <t>Luncheon Kingdom: Golden Turnip Recipe 1</t>
        </is>
      </c>
      <c r="C1632" s="35" t="n"/>
      <c r="D1632" s="12" t="inlineStr">
        <is>
          <t>Minimum Jump Height:</t>
        </is>
      </c>
      <c r="E1632" s="34" t="inlineStr">
        <is>
          <t>No Jump Needed</t>
        </is>
      </c>
      <c r="F1632" s="34" t="n"/>
      <c r="G1632" s="34" t="n"/>
      <c r="H1632" s="34" t="n"/>
      <c r="I1632" s="34" t="n"/>
      <c r="J1632" s="16" t="n"/>
    </row>
    <row r="1633">
      <c r="B1633" s="42" t="n"/>
      <c r="D1633" s="12" t="inlineStr">
        <is>
          <t>Cap Throws that work:</t>
        </is>
      </c>
      <c r="E1633" s="34" t="inlineStr">
        <is>
          <t>Neutral Throw, Up Throw, Down Throw, Spin Throw</t>
        </is>
      </c>
      <c r="F1633" s="34" t="n"/>
      <c r="G1633" s="34" t="n"/>
      <c r="H1633" s="34" t="n"/>
      <c r="I1633" s="34" t="n"/>
      <c r="J1633" s="16" t="n"/>
    </row>
    <row r="1634">
      <c r="A1634" s="43" t="n"/>
      <c r="B1634" s="44" t="n"/>
      <c r="C1634" s="43" t="n"/>
      <c r="D1634" s="19" t="inlineStr">
        <is>
          <t>Other Required:</t>
        </is>
      </c>
      <c r="E1634" s="35" t="inlineStr">
        <is>
          <t>None</t>
        </is>
      </c>
      <c r="F1634" s="35" t="n"/>
      <c r="G1634" s="35" t="n"/>
      <c r="H1634" s="35" t="n"/>
      <c r="I1634" s="35" t="n"/>
      <c r="J1634" s="16" t="n"/>
    </row>
    <row r="1635">
      <c r="A1635" s="41" t="b">
        <v>1</v>
      </c>
      <c r="B1635" s="31" t="inlineStr">
        <is>
          <t>Luncheon Kingdom: Golden Turnip Recipe 2</t>
        </is>
      </c>
      <c r="C1635" s="34" t="inlineStr">
        <is>
          <t>Fire Bro</t>
        </is>
      </c>
      <c r="D1635" s="12" t="inlineStr">
        <is>
          <t>Minimum Jump Height:</t>
        </is>
      </c>
      <c r="E1635" s="34" t="inlineStr">
        <is>
          <t>Backflip/Vault/Side Flip (496)</t>
        </is>
      </c>
      <c r="F1635" s="34" t="inlineStr">
        <is>
          <t>Single Jump (258)</t>
        </is>
      </c>
      <c r="G1635" s="34" t="n"/>
      <c r="H1635" s="34" t="n"/>
      <c r="I1635" s="34" t="n"/>
      <c r="J1635" s="16" t="n"/>
    </row>
    <row r="1636">
      <c r="B1636" s="42" t="n"/>
      <c r="C1636" s="34" t="inlineStr">
        <is>
          <t>Hammer Bro</t>
        </is>
      </c>
      <c r="D1636" s="12" t="inlineStr">
        <is>
          <t>Cap Throws that work:</t>
        </is>
      </c>
      <c r="E1636" s="34" t="inlineStr">
        <is>
          <t>Neutral Throw</t>
        </is>
      </c>
      <c r="F1636" s="34" t="inlineStr">
        <is>
          <t>Neutral Throw, Up Throw, Down Throw, Spin Throw</t>
        </is>
      </c>
      <c r="G1636" s="34" t="n"/>
      <c r="H1636" s="34" t="n"/>
      <c r="I1636" s="34" t="n"/>
      <c r="J1636" s="16" t="n"/>
    </row>
    <row r="1637">
      <c r="A1637" s="43" t="n"/>
      <c r="B1637" s="44" t="n"/>
      <c r="C1637" s="35" t="n"/>
      <c r="D1637" s="19" t="inlineStr">
        <is>
          <t>Other Required:</t>
        </is>
      </c>
      <c r="E1637" s="35" t="inlineStr">
        <is>
          <t>Dive</t>
        </is>
      </c>
      <c r="F1637" s="35" t="inlineStr">
        <is>
          <t>Capture</t>
        </is>
      </c>
      <c r="G1637" s="35" t="n"/>
      <c r="H1637" s="35" t="n"/>
      <c r="I1637" s="35" t="n"/>
      <c r="J1637" s="16" t="n"/>
    </row>
    <row r="1638">
      <c r="A1638" s="41" t="b">
        <v>1</v>
      </c>
      <c r="B1638" s="31" t="inlineStr">
        <is>
          <t>Luncheon Kingdom: Golden Turnip Recipe 3</t>
        </is>
      </c>
      <c r="C1638" s="35" t="inlineStr">
        <is>
          <t>Hammer Bro</t>
        </is>
      </c>
      <c r="D1638" s="12" t="inlineStr">
        <is>
          <t>Minimum Jump Height:</t>
        </is>
      </c>
      <c r="E1638" s="34" t="inlineStr">
        <is>
          <t>Single Jump (258)</t>
        </is>
      </c>
      <c r="F1638" s="34" t="n"/>
      <c r="G1638" s="34" t="n"/>
      <c r="H1638" s="34" t="n"/>
      <c r="I1638" s="34" t="n"/>
      <c r="J1638" s="16" t="n"/>
    </row>
    <row r="1639">
      <c r="B1639" s="42" t="n"/>
      <c r="D1639" s="12" t="inlineStr">
        <is>
          <t>Cap Throws that work:</t>
        </is>
      </c>
      <c r="E1639" s="34" t="inlineStr">
        <is>
          <t>Neutral Throw, Up Throw, Down Throw, Spin Throw</t>
        </is>
      </c>
      <c r="F1639" s="34" t="n"/>
      <c r="G1639" s="34" t="n"/>
      <c r="H1639" s="34" t="n"/>
      <c r="I1639" s="34" t="n"/>
      <c r="J1639" s="16" t="n"/>
    </row>
    <row r="1640">
      <c r="A1640" s="43" t="n"/>
      <c r="B1640" s="44" t="n"/>
      <c r="C1640" s="43" t="n"/>
      <c r="D1640" s="19" t="inlineStr">
        <is>
          <t>Other Required:</t>
        </is>
      </c>
      <c r="E1640" s="35" t="inlineStr">
        <is>
          <t>Capture</t>
        </is>
      </c>
      <c r="F1640" s="35" t="n"/>
      <c r="G1640" s="35" t="n"/>
      <c r="H1640" s="35" t="n"/>
      <c r="I1640" s="35" t="n"/>
      <c r="J1640" s="16" t="n"/>
    </row>
    <row r="1641">
      <c r="A1641" s="41" t="b">
        <v>1</v>
      </c>
      <c r="B1641" s="31" t="inlineStr">
        <is>
          <t>Luncheon Kingdom: Luncheon Kingdom Timer Challenge 1</t>
        </is>
      </c>
      <c r="C1641" s="35" t="n"/>
      <c r="D1641" s="12" t="inlineStr">
        <is>
          <t>Minimum Jump Height:</t>
        </is>
      </c>
      <c r="E1641" s="34" t="inlineStr">
        <is>
          <t>Long Jump</t>
        </is>
      </c>
      <c r="F1641" s="34" t="inlineStr">
        <is>
          <t>Backflip/Vault/Side Flip (496)</t>
        </is>
      </c>
      <c r="G1641" s="34" t="n"/>
      <c r="H1641" s="34" t="n"/>
      <c r="I1641" s="34" t="n"/>
      <c r="J1641" s="16" t="n"/>
    </row>
    <row r="1642">
      <c r="B1642" s="42" t="n"/>
      <c r="D1642" s="12" t="inlineStr">
        <is>
          <t>Cap Throws that work:</t>
        </is>
      </c>
      <c r="E1642" s="34" t="inlineStr">
        <is>
          <t>Neutral Throw, Up Throw, Down Throw, Spin Throw</t>
        </is>
      </c>
      <c r="F1642" s="34" t="inlineStr">
        <is>
          <t>Neutral Throw, Up Throw, Down Throw, Spin Throw</t>
        </is>
      </c>
      <c r="G1642" s="34" t="n"/>
      <c r="H1642" s="34" t="n"/>
      <c r="I1642" s="34" t="n"/>
      <c r="J1642" s="16" t="n"/>
    </row>
    <row r="1643">
      <c r="A1643" s="43" t="n"/>
      <c r="B1643" s="44" t="n"/>
      <c r="C1643" s="43" t="n"/>
      <c r="D1643" s="19" t="inlineStr">
        <is>
          <t>Other Required:</t>
        </is>
      </c>
      <c r="E1643" s="35" t="inlineStr">
        <is>
          <t>Dive, Wall Slide</t>
        </is>
      </c>
      <c r="F1643" s="35" t="inlineStr">
        <is>
          <t>None, Wall Slide</t>
        </is>
      </c>
      <c r="G1643" s="35" t="n"/>
      <c r="H1643" s="35" t="n"/>
      <c r="I1643" s="35" t="n"/>
      <c r="J1643" s="16" t="n"/>
    </row>
    <row r="1644">
      <c r="A1644" s="41" t="b">
        <v>1</v>
      </c>
      <c r="B1644" s="31" t="inlineStr">
        <is>
          <t>Luncheon Kingdom: Luncheon Kingdom Timer Challenge 2</t>
        </is>
      </c>
      <c r="C1644" s="35" t="n"/>
      <c r="D1644" s="12" t="inlineStr">
        <is>
          <t>Minimum Jump Height:</t>
        </is>
      </c>
      <c r="E1644" s="34" t="inlineStr">
        <is>
          <t>Single Jump (258)</t>
        </is>
      </c>
      <c r="F1644" s="34" t="n"/>
      <c r="G1644" s="34" t="n"/>
      <c r="H1644" s="34" t="n"/>
      <c r="I1644" s="34" t="n"/>
      <c r="J1644" s="16" t="n"/>
    </row>
    <row r="1645">
      <c r="B1645" s="42" t="n"/>
      <c r="D1645" s="12" t="inlineStr">
        <is>
          <t>Cap Throws that work:</t>
        </is>
      </c>
      <c r="E1645" s="34" t="inlineStr">
        <is>
          <t>Neutral Throw, Up Throw, Down Throw, Spin Throw</t>
        </is>
      </c>
      <c r="F1645" s="34" t="n"/>
      <c r="G1645" s="34" t="n"/>
      <c r="H1645" s="34" t="n"/>
      <c r="I1645" s="34" t="n"/>
      <c r="J1645" s="16" t="n"/>
    </row>
    <row r="1646">
      <c r="A1646" s="43" t="n"/>
      <c r="B1646" s="44" t="n"/>
      <c r="C1646" s="43" t="n"/>
      <c r="D1646" s="19" t="inlineStr">
        <is>
          <t>Other Required:</t>
        </is>
      </c>
      <c r="E1646" s="35" t="inlineStr">
        <is>
          <t>None</t>
        </is>
      </c>
      <c r="F1646" s="35" t="n"/>
      <c r="G1646" s="35" t="n"/>
      <c r="H1646" s="35" t="n"/>
      <c r="I1646" s="35" t="n"/>
      <c r="J1646" s="16" t="n"/>
    </row>
    <row r="1647">
      <c r="A1647" s="41" t="b">
        <v>1</v>
      </c>
      <c r="B1647" s="31" t="inlineStr">
        <is>
          <t>Luncheon Kingdom: Luncheon Kingdom Timer Challenge 3</t>
        </is>
      </c>
      <c r="C1647" s="35" t="n"/>
      <c r="D1647" s="12" t="inlineStr">
        <is>
          <t>Minimum Jump Height:</t>
        </is>
      </c>
      <c r="E1647" s="34" t="inlineStr">
        <is>
          <t>Backflip/Vault/Side Flip (496)</t>
        </is>
      </c>
      <c r="F1647" s="34" t="n"/>
      <c r="G1647" s="34" t="n"/>
      <c r="H1647" s="34" t="n"/>
      <c r="I1647" s="34" t="n"/>
      <c r="J1647" s="16" t="n"/>
    </row>
    <row r="1648">
      <c r="B1648" s="42" t="n"/>
      <c r="D1648" s="12" t="inlineStr">
        <is>
          <t>Cap Throws that work:</t>
        </is>
      </c>
      <c r="E1648" s="34" t="inlineStr">
        <is>
          <t>Neutral Throw, Up Throw, Down Throw, Spin Throw</t>
        </is>
      </c>
      <c r="F1648" s="34" t="n"/>
      <c r="G1648" s="34" t="n"/>
      <c r="H1648" s="34" t="n"/>
      <c r="I1648" s="34" t="n"/>
      <c r="J1648" s="16" t="n"/>
    </row>
    <row r="1649">
      <c r="A1649" s="43" t="n"/>
      <c r="B1649" s="44" t="n"/>
      <c r="C1649" s="43" t="n"/>
      <c r="D1649" s="19" t="inlineStr">
        <is>
          <t>Other Required:</t>
        </is>
      </c>
      <c r="E1649" s="35" t="inlineStr">
        <is>
          <t>None</t>
        </is>
      </c>
      <c r="F1649" s="35" t="n"/>
      <c r="G1649" s="35" t="n"/>
      <c r="H1649" s="35" t="n"/>
      <c r="I1649" s="35" t="n"/>
      <c r="J1649" s="16" t="n"/>
    </row>
    <row r="1650">
      <c r="A1650" s="41" t="b">
        <v>1</v>
      </c>
      <c r="B1650" s="31" t="inlineStr">
        <is>
          <t>Luncheon Kingdom: Beneath the Rolling Vegetables</t>
        </is>
      </c>
      <c r="C1650" s="35" t="inlineStr">
        <is>
          <t>Lava Bubble</t>
        </is>
      </c>
      <c r="D1650" s="12" t="inlineStr">
        <is>
          <t>Minimum Jump Height:</t>
        </is>
      </c>
      <c r="E1650" s="34" t="inlineStr">
        <is>
          <t>Single Jump (258)</t>
        </is>
      </c>
      <c r="F1650" s="34" t="n"/>
      <c r="G1650" s="34" t="n"/>
      <c r="H1650" s="34" t="n"/>
      <c r="I1650" s="34" t="n"/>
      <c r="J1650" s="16" t="n"/>
    </row>
    <row r="1651">
      <c r="B1651" s="42" t="n"/>
      <c r="D1651" s="12" t="inlineStr">
        <is>
          <t>Cap Throws that work:</t>
        </is>
      </c>
      <c r="E1651" s="34" t="inlineStr">
        <is>
          <t>Up Throw, Down Throw, Neutral Throw, Spin Throw</t>
        </is>
      </c>
      <c r="F1651" s="34" t="n"/>
      <c r="G1651" s="34" t="n"/>
      <c r="H1651" s="34" t="n"/>
      <c r="I1651" s="34" t="n"/>
      <c r="J1651" s="16" t="n"/>
    </row>
    <row r="1652">
      <c r="A1652" s="43" t="n"/>
      <c r="B1652" s="44" t="n"/>
      <c r="C1652" s="43" t="n"/>
      <c r="D1652" s="19" t="inlineStr">
        <is>
          <t>Other Required:</t>
        </is>
      </c>
      <c r="E1652" s="35" t="inlineStr">
        <is>
          <t>Capture</t>
        </is>
      </c>
      <c r="F1652" s="35" t="n"/>
      <c r="G1652" s="35" t="n"/>
      <c r="H1652" s="35" t="n"/>
      <c r="I1652" s="35" t="n"/>
      <c r="J1652" s="16" t="n"/>
    </row>
    <row r="1653">
      <c r="A1653" s="41" t="b">
        <v>1</v>
      </c>
      <c r="B1653" s="31" t="inlineStr">
        <is>
          <t>Luncheon Kingdom: All the Cracks Are Fixed</t>
        </is>
      </c>
      <c r="C1653" s="35" t="inlineStr">
        <is>
          <t>Lava Bubble</t>
        </is>
      </c>
      <c r="D1653" s="12" t="inlineStr">
        <is>
          <t>Minimum Jump Height:</t>
        </is>
      </c>
      <c r="E1653" s="34" t="inlineStr">
        <is>
          <t>Single Jump (258)</t>
        </is>
      </c>
      <c r="F1653" s="34" t="n"/>
      <c r="G1653" s="34" t="n"/>
      <c r="H1653" s="34" t="n"/>
      <c r="I1653" s="34" t="n"/>
      <c r="J1653" s="16" t="n"/>
    </row>
    <row r="1654">
      <c r="B1654" s="42" t="n"/>
      <c r="D1654" s="12" t="inlineStr">
        <is>
          <t>Cap Throws that work:</t>
        </is>
      </c>
      <c r="E1654" s="34" t="inlineStr">
        <is>
          <t>Neutral Throw, Up Throw, Down Throw, Spin Throw</t>
        </is>
      </c>
      <c r="F1654" s="34" t="n"/>
      <c r="G1654" s="34" t="n"/>
      <c r="H1654" s="34" t="n"/>
      <c r="I1654" s="34" t="n"/>
      <c r="J1654" s="16" t="n"/>
    </row>
    <row r="1655">
      <c r="A1655" s="43" t="n"/>
      <c r="B1655" s="44" t="n"/>
      <c r="C1655" s="43" t="n"/>
      <c r="D1655" s="19" t="inlineStr">
        <is>
          <t>Other Required:</t>
        </is>
      </c>
      <c r="E1655" s="35" t="inlineStr">
        <is>
          <t>Capture, Ground Pound</t>
        </is>
      </c>
      <c r="F1655" s="35" t="n"/>
      <c r="G1655" s="35" t="n"/>
      <c r="H1655" s="35" t="n"/>
      <c r="I1655" s="35" t="n"/>
      <c r="J1655" s="16" t="n"/>
    </row>
    <row r="1656">
      <c r="A1656" s="41" t="b">
        <v>1</v>
      </c>
      <c r="B1656" s="31" t="inlineStr">
        <is>
          <t>Luncheon Kingdom: Taking Notes: Swimming in Magma</t>
        </is>
      </c>
      <c r="C1656" s="35" t="inlineStr">
        <is>
          <t>Lava Bubble</t>
        </is>
      </c>
      <c r="D1656" s="12" t="inlineStr">
        <is>
          <t>Minimum Jump Height:</t>
        </is>
      </c>
      <c r="E1656" s="34" t="inlineStr">
        <is>
          <t>Single Jump (258)</t>
        </is>
      </c>
      <c r="F1656" s="34" t="n"/>
      <c r="G1656" s="34" t="n"/>
      <c r="H1656" s="34" t="n"/>
      <c r="I1656" s="34" t="n"/>
      <c r="J1656" s="16" t="n"/>
    </row>
    <row r="1657">
      <c r="B1657" s="42" t="n"/>
      <c r="D1657" s="12" t="inlineStr">
        <is>
          <t>Cap Throws that work:</t>
        </is>
      </c>
      <c r="E1657" s="34" t="inlineStr">
        <is>
          <t>Neutral Throw, Up Throw, Down Throw, Spin Throw</t>
        </is>
      </c>
      <c r="F1657" s="34" t="n"/>
      <c r="G1657" s="34" t="n"/>
      <c r="H1657" s="34" t="n"/>
      <c r="I1657" s="34" t="n"/>
      <c r="J1657" s="16" t="n"/>
    </row>
    <row r="1658">
      <c r="A1658" s="43" t="n"/>
      <c r="B1658" s="44" t="n"/>
      <c r="C1658" s="43" t="n"/>
      <c r="D1658" s="19" t="inlineStr">
        <is>
          <t>Other Required:</t>
        </is>
      </c>
      <c r="E1658" s="35" t="inlineStr">
        <is>
          <t>Capture</t>
        </is>
      </c>
      <c r="F1658" s="35" t="n"/>
      <c r="G1658" s="35" t="n"/>
      <c r="H1658" s="35" t="n"/>
      <c r="I1658" s="35" t="n"/>
      <c r="J1658" s="16" t="n"/>
    </row>
    <row r="1659">
      <c r="A1659" s="41" t="b">
        <v>1</v>
      </c>
      <c r="B1659" s="31" t="inlineStr">
        <is>
          <t>Luncheon Kingdom: Love Above the Lava</t>
        </is>
      </c>
      <c r="C1659" s="35" t="inlineStr">
        <is>
          <t>Goomba</t>
        </is>
      </c>
      <c r="D1659" s="12" t="inlineStr">
        <is>
          <t>Minimum Jump Height:</t>
        </is>
      </c>
      <c r="E1659" s="34" t="inlineStr">
        <is>
          <t>Single Jump (258)</t>
        </is>
      </c>
      <c r="F1659" s="34" t="n"/>
      <c r="G1659" s="34" t="n"/>
      <c r="H1659" s="34" t="n"/>
      <c r="I1659" s="34" t="n"/>
      <c r="J1659" s="16" t="n"/>
    </row>
    <row r="1660">
      <c r="B1660" s="42" t="n"/>
      <c r="D1660" s="12" t="inlineStr">
        <is>
          <t>Cap Throws that work:</t>
        </is>
      </c>
      <c r="E1660" s="34" t="inlineStr">
        <is>
          <t>Neutral Throw, Up Throw, Down Throw, Spin Throw</t>
        </is>
      </c>
      <c r="F1660" s="34" t="n"/>
      <c r="G1660" s="34" t="n"/>
      <c r="H1660" s="34" t="n"/>
      <c r="I1660" s="34" t="n"/>
      <c r="J1660" s="16" t="n"/>
    </row>
    <row r="1661">
      <c r="A1661" s="43" t="n"/>
      <c r="B1661" s="44" t="n"/>
      <c r="C1661" s="43" t="n"/>
      <c r="D1661" s="19" t="inlineStr">
        <is>
          <t>Other Required:</t>
        </is>
      </c>
      <c r="E1661" s="35" t="inlineStr">
        <is>
          <t>Capture</t>
        </is>
      </c>
      <c r="F1661" s="35" t="n"/>
      <c r="G1661" s="35" t="n"/>
      <c r="H1661" s="35" t="n"/>
      <c r="I1661" s="35" t="n"/>
      <c r="J1661" s="16" t="n"/>
    </row>
    <row r="1662">
      <c r="A1662" s="41" t="b">
        <v>1</v>
      </c>
      <c r="B1662" s="31" t="inlineStr">
        <is>
          <t>Crazy Cap Store (Luncheon): Shopping in Mount Volbono</t>
        </is>
      </c>
      <c r="C1662" s="35" t="n"/>
      <c r="D1662" s="12" t="inlineStr">
        <is>
          <t>Minimum Jump Height:</t>
        </is>
      </c>
      <c r="E1662" s="34" t="inlineStr">
        <is>
          <t>Single Jump (258)</t>
        </is>
      </c>
      <c r="F1662" s="34" t="n"/>
      <c r="G1662" s="34" t="n"/>
      <c r="H1662" s="34" t="n"/>
      <c r="I1662" s="34" t="n"/>
      <c r="J1662" s="16" t="n"/>
    </row>
    <row r="1663">
      <c r="B1663" s="42" t="n"/>
      <c r="D1663" s="12" t="inlineStr">
        <is>
          <t>Cap Throws that work:</t>
        </is>
      </c>
      <c r="E1663" s="34" t="inlineStr">
        <is>
          <t>No Cap Throw Needed</t>
        </is>
      </c>
      <c r="F1663" s="34" t="n"/>
      <c r="G1663" s="34" t="n"/>
      <c r="H1663" s="34" t="n"/>
      <c r="I1663" s="34" t="n"/>
      <c r="J1663" s="16" t="n"/>
    </row>
    <row r="1664">
      <c r="A1664" s="43" t="n"/>
      <c r="B1664" s="44" t="n"/>
      <c r="C1664" s="43" t="n"/>
      <c r="D1664" s="19" t="inlineStr">
        <is>
          <t>Other Required:</t>
        </is>
      </c>
      <c r="E1664" s="35" t="inlineStr">
        <is>
          <t>None</t>
        </is>
      </c>
      <c r="F1664" s="35" t="n"/>
      <c r="G1664" s="35" t="n"/>
      <c r="H1664" s="35" t="n"/>
      <c r="I1664" s="35" t="n"/>
      <c r="J1664" s="16" t="n"/>
    </row>
    <row r="1665">
      <c r="A1665" s="41" t="b">
        <v>1</v>
      </c>
      <c r="B1665" s="31" t="inlineStr">
        <is>
          <t>Luncheon Kingdom Slots: Luncheon Kingdom Slots</t>
        </is>
      </c>
      <c r="C1665" s="35" t="n"/>
      <c r="D1665" s="12" t="inlineStr">
        <is>
          <t>Minimum Jump Height:</t>
        </is>
      </c>
      <c r="E1665" s="34" t="inlineStr">
        <is>
          <t>Single Jump (258)</t>
        </is>
      </c>
      <c r="F1665" s="34" t="n"/>
      <c r="G1665" s="34" t="n"/>
      <c r="H1665" s="34" t="n"/>
      <c r="I1665" s="34" t="n"/>
      <c r="J1665" s="16" t="n"/>
    </row>
    <row r="1666">
      <c r="B1666" s="42" t="n"/>
      <c r="D1666" s="12" t="inlineStr">
        <is>
          <t>Cap Throws that work:</t>
        </is>
      </c>
      <c r="E1666" s="34" t="inlineStr">
        <is>
          <t>Down Throw, Up Throw, Neutral Throw</t>
        </is>
      </c>
      <c r="F1666" s="34" t="n"/>
      <c r="G1666" s="34" t="n"/>
      <c r="H1666" s="34" t="n"/>
      <c r="I1666" s="34" t="n"/>
      <c r="J1666" s="16" t="n"/>
    </row>
    <row r="1667">
      <c r="A1667" s="43" t="n"/>
      <c r="B1667" s="44" t="n"/>
      <c r="C1667" s="43" t="n"/>
      <c r="D1667" s="19" t="inlineStr">
        <is>
          <t>Other Required:</t>
        </is>
      </c>
      <c r="E1667" s="35" t="inlineStr">
        <is>
          <t>None</t>
        </is>
      </c>
      <c r="F1667" s="35" t="n"/>
      <c r="G1667" s="35" t="n"/>
      <c r="H1667" s="35" t="n"/>
      <c r="I1667" s="35" t="n"/>
      <c r="J1667" s="16" t="n"/>
    </row>
    <row r="1668">
      <c r="A1668" s="41" t="b">
        <v>1</v>
      </c>
      <c r="B1668" s="31" t="inlineStr">
        <is>
          <t>Simmering in the Kitchen: A Strong Simmer</t>
        </is>
      </c>
      <c r="C1668" s="35" t="inlineStr">
        <is>
          <t>Lava Bubble</t>
        </is>
      </c>
      <c r="D1668" s="12" t="inlineStr">
        <is>
          <t>Minimum Jump Height:</t>
        </is>
      </c>
      <c r="E1668" s="34" t="inlineStr">
        <is>
          <t>Single Jump (258)</t>
        </is>
      </c>
      <c r="F1668" s="34" t="n"/>
      <c r="G1668" s="34" t="n"/>
      <c r="H1668" s="34" t="n"/>
      <c r="I1668" s="34" t="n"/>
      <c r="J1668" s="16" t="n"/>
    </row>
    <row r="1669">
      <c r="B1669" s="42" t="n"/>
      <c r="D1669" s="12" t="inlineStr">
        <is>
          <t>Cap Throws that work:</t>
        </is>
      </c>
      <c r="E1669" s="34" t="inlineStr">
        <is>
          <t>Neutral Throw, Up Throw, Down Throw, Spin Throw</t>
        </is>
      </c>
      <c r="F1669" s="34" t="n"/>
      <c r="G1669" s="34" t="n"/>
      <c r="H1669" s="34" t="n"/>
      <c r="I1669" s="34" t="n"/>
      <c r="J1669" s="16" t="n"/>
    </row>
    <row r="1670">
      <c r="A1670" s="43" t="n"/>
      <c r="B1670" s="44" t="n"/>
      <c r="C1670" s="43" t="n"/>
      <c r="D1670" s="19" t="inlineStr">
        <is>
          <t>Other Required:</t>
        </is>
      </c>
      <c r="E1670" s="35" t="inlineStr">
        <is>
          <t>Capture</t>
        </is>
      </c>
      <c r="F1670" s="35" t="n"/>
      <c r="G1670" s="35" t="n"/>
      <c r="H1670" s="35" t="n"/>
      <c r="I1670" s="35" t="n"/>
      <c r="J1670" s="16" t="n"/>
    </row>
    <row r="1671">
      <c r="A1671" s="41" t="b">
        <v>1</v>
      </c>
      <c r="B1671" s="31" t="inlineStr">
        <is>
          <t>Simmering in the Kitchen: An Extreme Simmer</t>
        </is>
      </c>
      <c r="C1671" s="35" t="inlineStr">
        <is>
          <t>Lava Bubble</t>
        </is>
      </c>
      <c r="D1671" s="12" t="inlineStr">
        <is>
          <t>Minimum Jump Height:</t>
        </is>
      </c>
      <c r="E1671" s="34" t="inlineStr">
        <is>
          <t>Single Jump (258)</t>
        </is>
      </c>
      <c r="F1671" s="34" t="n"/>
      <c r="G1671" s="34" t="n"/>
      <c r="H1671" s="34" t="n"/>
      <c r="I1671" s="34" t="n"/>
      <c r="J1671" s="16" t="n"/>
    </row>
    <row r="1672">
      <c r="B1672" s="42" t="n"/>
      <c r="D1672" s="12" t="inlineStr">
        <is>
          <t>Cap Throws that work:</t>
        </is>
      </c>
      <c r="E1672" s="34" t="inlineStr">
        <is>
          <t>Neutral Throw, Up Throw, Down Throw, Spin Throw</t>
        </is>
      </c>
      <c r="F1672" s="34" t="n"/>
      <c r="G1672" s="34" t="n"/>
      <c r="H1672" s="34" t="n"/>
      <c r="I1672" s="34" t="n"/>
      <c r="J1672" s="16" t="n"/>
    </row>
    <row r="1673">
      <c r="A1673" s="43" t="n"/>
      <c r="B1673" s="44" t="n"/>
      <c r="C1673" s="43" t="n"/>
      <c r="D1673" s="19" t="inlineStr">
        <is>
          <t>Other Required:</t>
        </is>
      </c>
      <c r="E1673" s="35" t="inlineStr">
        <is>
          <t>Capture</t>
        </is>
      </c>
      <c r="F1673" s="35" t="n"/>
      <c r="G1673" s="35" t="n"/>
      <c r="H1673" s="35" t="n"/>
      <c r="I1673" s="35" t="n"/>
      <c r="J1673" s="16" t="n"/>
    </row>
    <row r="1674">
      <c r="A1674" s="41" t="b">
        <v>1</v>
      </c>
      <c r="B1674" s="31" t="inlineStr">
        <is>
          <t>Luncheon Kingdom: Alcove Behind the Pillars of Magma</t>
        </is>
      </c>
      <c r="C1674" s="35" t="inlineStr">
        <is>
          <t>Lava Bubble</t>
        </is>
      </c>
      <c r="D1674" s="12" t="inlineStr">
        <is>
          <t>Minimum Jump Height:</t>
        </is>
      </c>
      <c r="E1674" s="34" t="inlineStr">
        <is>
          <t>Single Jump (258)</t>
        </is>
      </c>
      <c r="F1674" s="34" t="n"/>
      <c r="G1674" s="34" t="n"/>
      <c r="H1674" s="34" t="n"/>
      <c r="I1674" s="34" t="n"/>
      <c r="J1674" s="16" t="n"/>
    </row>
    <row r="1675">
      <c r="B1675" s="42" t="n"/>
      <c r="D1675" s="12" t="inlineStr">
        <is>
          <t>Cap Throws that work:</t>
        </is>
      </c>
      <c r="E1675" s="34" t="inlineStr">
        <is>
          <t>Neutral Throw, Up Throw, Down Throw, Spin Throw</t>
        </is>
      </c>
      <c r="F1675" s="34" t="n"/>
      <c r="G1675" s="34" t="n"/>
      <c r="H1675" s="34" t="n"/>
      <c r="I1675" s="34" t="n"/>
      <c r="J1675" s="16" t="n"/>
    </row>
    <row r="1676">
      <c r="A1676" s="43" t="n"/>
      <c r="B1676" s="44" t="n"/>
      <c r="C1676" s="43" t="n"/>
      <c r="D1676" s="19" t="inlineStr">
        <is>
          <t>Other Required:</t>
        </is>
      </c>
      <c r="E1676" s="35" t="inlineStr">
        <is>
          <t>Capture</t>
        </is>
      </c>
      <c r="F1676" s="35" t="n"/>
      <c r="G1676" s="35" t="n"/>
      <c r="H1676" s="35" t="n"/>
      <c r="I1676" s="35" t="n"/>
      <c r="J1676" s="16" t="n"/>
    </row>
    <row r="1677">
      <c r="A1677" s="41" t="b">
        <v>1</v>
      </c>
      <c r="B1677" s="31" t="inlineStr">
        <is>
          <t>Luncheon Kingdom: Treasure Beneath the Cheese Rocks</t>
        </is>
      </c>
      <c r="C1677" s="35" t="inlineStr">
        <is>
          <t>Hammer Bro</t>
        </is>
      </c>
      <c r="D1677" s="12" t="inlineStr">
        <is>
          <t>Minimum Jump Height:</t>
        </is>
      </c>
      <c r="E1677" s="34" t="inlineStr">
        <is>
          <t>Single Jump (258)</t>
        </is>
      </c>
      <c r="F1677" s="34" t="n"/>
      <c r="G1677" s="34" t="n"/>
      <c r="H1677" s="34" t="n"/>
      <c r="I1677" s="34" t="n"/>
      <c r="J1677" s="16" t="n"/>
    </row>
    <row r="1678">
      <c r="B1678" s="42" t="n"/>
      <c r="D1678" s="12" t="inlineStr">
        <is>
          <t>Cap Throws that work:</t>
        </is>
      </c>
      <c r="E1678" s="34" t="inlineStr">
        <is>
          <t>Neutral Throw, Up Throw, Down Throw, Spin Throw</t>
        </is>
      </c>
      <c r="F1678" s="34" t="n"/>
      <c r="G1678" s="34" t="n"/>
      <c r="H1678" s="34" t="n"/>
      <c r="I1678" s="34" t="n"/>
      <c r="J1678" s="16" t="n"/>
    </row>
    <row r="1679">
      <c r="A1679" s="43" t="n"/>
      <c r="B1679" s="44" t="n"/>
      <c r="C1679" s="43" t="n"/>
      <c r="D1679" s="19" t="inlineStr">
        <is>
          <t>Other Required:</t>
        </is>
      </c>
      <c r="E1679" s="35" t="inlineStr">
        <is>
          <t>Capture</t>
        </is>
      </c>
      <c r="F1679" s="35" t="n"/>
      <c r="G1679" s="35" t="n"/>
      <c r="H1679" s="35" t="n"/>
      <c r="I1679" s="35" t="n"/>
      <c r="J1679" s="16" t="n"/>
    </row>
    <row r="1680">
      <c r="A1680" s="41" t="b">
        <v>1</v>
      </c>
      <c r="B1680" s="31" t="inlineStr">
        <is>
          <t>Luncheon Kingdom: Light the Two Flames</t>
        </is>
      </c>
      <c r="C1680" s="34" t="inlineStr">
        <is>
          <t>Fire Bro</t>
        </is>
      </c>
      <c r="D1680" s="12" t="inlineStr">
        <is>
          <t>Minimum Jump Height:</t>
        </is>
      </c>
      <c r="E1680" s="34" t="inlineStr">
        <is>
          <t>Single Jump (258)</t>
        </is>
      </c>
      <c r="F1680" s="34" t="n"/>
      <c r="G1680" s="34" t="n"/>
      <c r="H1680" s="34" t="n"/>
      <c r="I1680" s="34" t="n"/>
      <c r="J1680" s="16" t="n"/>
    </row>
    <row r="1681">
      <c r="B1681" s="42" t="n"/>
      <c r="C1681" s="34" t="inlineStr">
        <is>
          <t>Lava Bubble</t>
        </is>
      </c>
      <c r="D1681" s="12" t="inlineStr">
        <is>
          <t>Cap Throws that work:</t>
        </is>
      </c>
      <c r="E1681" s="34" t="inlineStr">
        <is>
          <t>Neutral Throw, Up Throw, Down Throw, Spin Throw</t>
        </is>
      </c>
      <c r="F1681" s="34" t="n"/>
      <c r="G1681" s="34" t="n"/>
      <c r="H1681" s="34" t="n"/>
      <c r="I1681" s="34" t="n"/>
      <c r="J1681" s="16" t="n"/>
    </row>
    <row r="1682">
      <c r="A1682" s="43" t="n"/>
      <c r="B1682" s="44" t="n"/>
      <c r="C1682" s="35" t="n"/>
      <c r="D1682" s="19" t="inlineStr">
        <is>
          <t>Other Required:</t>
        </is>
      </c>
      <c r="E1682" s="35" t="inlineStr">
        <is>
          <t>Capture</t>
        </is>
      </c>
      <c r="F1682" s="35" t="n"/>
      <c r="G1682" s="35" t="n"/>
      <c r="H1682" s="35" t="n"/>
      <c r="I1682" s="35" t="n"/>
      <c r="J1682" s="16" t="n"/>
    </row>
    <row r="1683">
      <c r="A1683" s="41" t="b">
        <v>1</v>
      </c>
      <c r="B1683" s="31" t="inlineStr">
        <is>
          <t>Luncheon Kingdom: Light the Far-Off Lanterns</t>
        </is>
      </c>
      <c r="C1683" s="35" t="inlineStr">
        <is>
          <t>Fire Piranha Plant</t>
        </is>
      </c>
      <c r="D1683" s="12" t="inlineStr">
        <is>
          <t>Minimum Jump Height:</t>
        </is>
      </c>
      <c r="E1683" s="34" t="inlineStr">
        <is>
          <t>Single Jump (258)</t>
        </is>
      </c>
      <c r="F1683" s="34" t="n"/>
      <c r="G1683" s="34" t="n"/>
      <c r="H1683" s="34" t="n"/>
      <c r="I1683" s="34" t="n"/>
      <c r="J1683" s="16" t="n"/>
    </row>
    <row r="1684">
      <c r="B1684" s="42" t="n"/>
      <c r="D1684" s="12" t="inlineStr">
        <is>
          <t>Cap Throws that work:</t>
        </is>
      </c>
      <c r="E1684" s="34" t="inlineStr">
        <is>
          <t>No Cap Throw Needed</t>
        </is>
      </c>
      <c r="F1684" s="34" t="n"/>
      <c r="G1684" s="34" t="n"/>
      <c r="H1684" s="34" t="n"/>
      <c r="I1684" s="34" t="n"/>
      <c r="J1684" s="16" t="n"/>
    </row>
    <row r="1685">
      <c r="A1685" s="43" t="n"/>
      <c r="B1685" s="44" t="n"/>
      <c r="C1685" s="43" t="n"/>
      <c r="D1685" s="19" t="inlineStr">
        <is>
          <t>Other Required:</t>
        </is>
      </c>
      <c r="E1685" s="35" t="inlineStr">
        <is>
          <t>Capture</t>
        </is>
      </c>
      <c r="F1685" s="35" t="n"/>
      <c r="G1685" s="35" t="n"/>
      <c r="H1685" s="35" t="n"/>
      <c r="I1685" s="35" t="n"/>
      <c r="J1685" s="16" t="n"/>
    </row>
    <row r="1686">
      <c r="A1686" s="41" t="b">
        <v>1</v>
      </c>
      <c r="B1686" s="31" t="inlineStr">
        <is>
          <t>Luncheon Kingdom: Bon Appétit, Captain Toad!</t>
        </is>
      </c>
      <c r="C1686" s="35" t="inlineStr">
        <is>
          <t>Lava Bubble</t>
        </is>
      </c>
      <c r="D1686" s="12" t="inlineStr">
        <is>
          <t>Minimum Jump Height:</t>
        </is>
      </c>
      <c r="E1686" s="34" t="inlineStr">
        <is>
          <t>Single Jump (258)</t>
        </is>
      </c>
      <c r="F1686" s="34" t="n"/>
      <c r="G1686" s="34" t="n"/>
      <c r="H1686" s="34" t="n"/>
      <c r="I1686" s="34" t="n"/>
      <c r="J1686" s="16" t="n"/>
    </row>
    <row r="1687">
      <c r="B1687" s="42" t="n"/>
      <c r="D1687" s="12" t="inlineStr">
        <is>
          <t>Cap Throws that work:</t>
        </is>
      </c>
      <c r="E1687" s="34" t="inlineStr">
        <is>
          <t>Neutral Throw, Up Throw, Down Throw, Spin Throw</t>
        </is>
      </c>
      <c r="F1687" s="34" t="n"/>
      <c r="G1687" s="34" t="n"/>
      <c r="H1687" s="34" t="n"/>
      <c r="I1687" s="34" t="n"/>
      <c r="J1687" s="16" t="n"/>
    </row>
    <row r="1688">
      <c r="A1688" s="43" t="n"/>
      <c r="B1688" s="44" t="n"/>
      <c r="C1688" s="43" t="n"/>
      <c r="D1688" s="19" t="inlineStr">
        <is>
          <t>Other Required:</t>
        </is>
      </c>
      <c r="E1688" s="35" t="inlineStr">
        <is>
          <t>Capture</t>
        </is>
      </c>
      <c r="F1688" s="35" t="n"/>
      <c r="G1688" s="35" t="n"/>
      <c r="H1688" s="35" t="n"/>
      <c r="I1688" s="35" t="n"/>
      <c r="J1688" s="16" t="n"/>
    </row>
    <row r="1689">
      <c r="A1689" s="41" t="b">
        <v>1</v>
      </c>
      <c r="B1689" s="31" t="inlineStr">
        <is>
          <t>Luncheon Treasure Vault: The Treasure Chest in the Veggies</t>
        </is>
      </c>
      <c r="C1689" s="34" t="inlineStr">
        <is>
          <t>Fire Bro</t>
        </is>
      </c>
      <c r="D1689" s="12" t="inlineStr">
        <is>
          <t>Minimum Jump Height:</t>
        </is>
      </c>
      <c r="E1689" s="34" t="inlineStr">
        <is>
          <t>Single Jump (258)</t>
        </is>
      </c>
      <c r="F1689" s="34" t="inlineStr">
        <is>
          <t>Single Jump (258)</t>
        </is>
      </c>
      <c r="G1689" s="34" t="n"/>
      <c r="H1689" s="34" t="n"/>
      <c r="I1689" s="34" t="n"/>
      <c r="J1689" s="16" t="n"/>
    </row>
    <row r="1690">
      <c r="B1690" s="42" t="n"/>
      <c r="C1690" s="34" t="inlineStr">
        <is>
          <t>Lava Bubble</t>
        </is>
      </c>
      <c r="D1690" s="12" t="inlineStr">
        <is>
          <t>Cap Throws that work:</t>
        </is>
      </c>
      <c r="E1690" s="34" t="inlineStr">
        <is>
          <t>No Cap Throw Needed</t>
        </is>
      </c>
      <c r="F1690" s="34" t="inlineStr">
        <is>
          <t>Neutral Throw, Up Throw, Down Throw, Spin Throw</t>
        </is>
      </c>
      <c r="G1690" s="34" t="n"/>
      <c r="H1690" s="34" t="n"/>
      <c r="I1690" s="34" t="n"/>
      <c r="J1690" s="16" t="n"/>
    </row>
    <row r="1691">
      <c r="A1691" s="43" t="n"/>
      <c r="B1691" s="44" t="n"/>
      <c r="C1691" s="35" t="n"/>
      <c r="D1691" s="19" t="inlineStr">
        <is>
          <t>Other Required:</t>
        </is>
      </c>
      <c r="E1691" s="35" t="n"/>
      <c r="F1691" s="35" t="inlineStr">
        <is>
          <t>Capture</t>
        </is>
      </c>
      <c r="G1691" s="35" t="n"/>
      <c r="H1691" s="35" t="n"/>
      <c r="I1691" s="35" t="n"/>
      <c r="J1691" s="16" t="n"/>
    </row>
    <row r="1692">
      <c r="A1692" s="41" t="b">
        <v>1</v>
      </c>
      <c r="B1692" s="31" t="inlineStr">
        <is>
          <t>Luncheon Kingdom: Caught Hopping at the Volcano!</t>
        </is>
      </c>
      <c r="C1692" s="35" t="n"/>
      <c r="D1692" s="12" t="inlineStr">
        <is>
          <t>Minimum Jump Height:</t>
        </is>
      </c>
      <c r="E1692" s="34" t="inlineStr">
        <is>
          <t>No Jump Needed</t>
        </is>
      </c>
      <c r="F1692" s="34" t="n"/>
      <c r="G1692" s="34" t="n"/>
      <c r="H1692" s="34" t="n"/>
      <c r="I1692" s="34" t="n"/>
      <c r="J1692" s="16" t="n"/>
    </row>
    <row r="1693">
      <c r="B1693" s="42" t="n"/>
      <c r="D1693" s="12" t="inlineStr">
        <is>
          <t>Cap Throws that work:</t>
        </is>
      </c>
      <c r="E1693" s="34" t="inlineStr">
        <is>
          <t>Neutral Throw, Down Throw, Spin Throw</t>
        </is>
      </c>
      <c r="F1693" s="34" t="n"/>
      <c r="G1693" s="34" t="n"/>
      <c r="H1693" s="34" t="n"/>
      <c r="I1693" s="34" t="n"/>
      <c r="J1693" s="16" t="n"/>
    </row>
    <row r="1694">
      <c r="A1694" s="43" t="n"/>
      <c r="B1694" s="44" t="n"/>
      <c r="C1694" s="43" t="n"/>
      <c r="D1694" s="19" t="inlineStr">
        <is>
          <t>Other Required:</t>
        </is>
      </c>
      <c r="E1694" s="35" t="inlineStr">
        <is>
          <t>None</t>
        </is>
      </c>
      <c r="F1694" s="35" t="n"/>
      <c r="G1694" s="35" t="n"/>
      <c r="H1694" s="35" t="n"/>
      <c r="I1694" s="35" t="n"/>
      <c r="J1694" s="16" t="n"/>
    </row>
    <row r="1695">
      <c r="A1695" s="41" t="b">
        <v>1</v>
      </c>
      <c r="B1695" s="31" t="inlineStr">
        <is>
          <t>Luncheon Kingdom: Taking Notes: Big Pot Swim</t>
        </is>
      </c>
      <c r="C1695" s="35" t="inlineStr">
        <is>
          <t>Lava Bubble</t>
        </is>
      </c>
      <c r="D1695" s="12" t="inlineStr">
        <is>
          <t>Minimum Jump Height:</t>
        </is>
      </c>
      <c r="E1695" s="34" t="inlineStr">
        <is>
          <t>Single Jump (258)</t>
        </is>
      </c>
      <c r="F1695" s="34" t="n"/>
      <c r="G1695" s="34" t="n"/>
      <c r="H1695" s="34" t="n"/>
      <c r="I1695" s="34" t="n"/>
      <c r="J1695" s="16" t="n"/>
    </row>
    <row r="1696">
      <c r="B1696" s="42" t="n"/>
      <c r="D1696" s="12" t="inlineStr">
        <is>
          <t>Cap Throws that work:</t>
        </is>
      </c>
      <c r="E1696" s="34" t="inlineStr">
        <is>
          <t>Neutral Throw, Up Throw, Down Throw, Spin Throw</t>
        </is>
      </c>
      <c r="F1696" s="34" t="n"/>
      <c r="G1696" s="34" t="n"/>
      <c r="H1696" s="34" t="n"/>
      <c r="I1696" s="34" t="n"/>
      <c r="J1696" s="16" t="n"/>
    </row>
    <row r="1697">
      <c r="A1697" s="43" t="n"/>
      <c r="B1697" s="44" t="n"/>
      <c r="C1697" s="43" t="n"/>
      <c r="D1697" s="19" t="inlineStr">
        <is>
          <t>Other Required:</t>
        </is>
      </c>
      <c r="E1697" s="35" t="inlineStr">
        <is>
          <t>Capture</t>
        </is>
      </c>
      <c r="F1697" s="35" t="n"/>
      <c r="G1697" s="35" t="n"/>
      <c r="H1697" s="35" t="n"/>
      <c r="I1697" s="35" t="n"/>
      <c r="J1697" s="16" t="n"/>
    </row>
    <row r="1698">
      <c r="A1698" s="41" t="b">
        <v>1</v>
      </c>
      <c r="B1698" s="31" t="inlineStr">
        <is>
          <t>Magma Swamp: Magma Swamp: Floating and Sinking</t>
        </is>
      </c>
      <c r="C1698" s="35" t="n"/>
      <c r="D1698" s="12" t="inlineStr">
        <is>
          <t>Minimum Jump Height:</t>
        </is>
      </c>
      <c r="E1698" s="34" t="inlineStr">
        <is>
          <t>Single Jump (258)</t>
        </is>
      </c>
      <c r="F1698" s="34" t="n"/>
      <c r="G1698" s="34" t="n"/>
      <c r="H1698" s="34" t="n"/>
      <c r="I1698" s="34" t="n"/>
      <c r="J1698" s="16" t="n"/>
    </row>
    <row r="1699">
      <c r="B1699" s="42" t="n"/>
      <c r="D1699" s="12" t="inlineStr">
        <is>
          <t>Cap Throws that work:</t>
        </is>
      </c>
      <c r="E1699" s="34" t="inlineStr">
        <is>
          <t>No Cap Throw Needed</t>
        </is>
      </c>
      <c r="F1699" s="34" t="n"/>
      <c r="G1699" s="34" t="n"/>
      <c r="H1699" s="34" t="n"/>
      <c r="I1699" s="34" t="n"/>
      <c r="J1699" s="16" t="n"/>
    </row>
    <row r="1700">
      <c r="A1700" s="43" t="n"/>
      <c r="B1700" s="44" t="n"/>
      <c r="C1700" s="43" t="n"/>
      <c r="D1700" s="19" t="inlineStr">
        <is>
          <t>Other Required:</t>
        </is>
      </c>
      <c r="E1700" s="35" t="inlineStr">
        <is>
          <t>None</t>
        </is>
      </c>
      <c r="F1700" s="35" t="n"/>
      <c r="G1700" s="35" t="n"/>
      <c r="H1700" s="35" t="n"/>
      <c r="I1700" s="35" t="n"/>
      <c r="J1700" s="16" t="n"/>
    </row>
    <row r="1701">
      <c r="A1701" s="41" t="b">
        <v>1</v>
      </c>
      <c r="B1701" s="31" t="inlineStr">
        <is>
          <t>Magma Swamp: Corner of the Magma Swamp</t>
        </is>
      </c>
      <c r="C1701" s="35" t="n"/>
      <c r="D1701" s="12" t="inlineStr">
        <is>
          <t>Minimum Jump Height:</t>
        </is>
      </c>
      <c r="E1701" s="34" t="inlineStr">
        <is>
          <t>Single Jump (258)</t>
        </is>
      </c>
      <c r="F1701" s="34" t="n"/>
      <c r="G1701" s="34" t="n"/>
      <c r="H1701" s="34" t="n"/>
      <c r="I1701" s="34" t="n"/>
      <c r="J1701" s="16" t="n"/>
    </row>
    <row r="1702">
      <c r="B1702" s="42" t="n"/>
      <c r="D1702" s="12" t="inlineStr">
        <is>
          <t>Cap Throws that work:</t>
        </is>
      </c>
      <c r="E1702" s="34" t="inlineStr">
        <is>
          <t>No Cap Throw Needed</t>
        </is>
      </c>
      <c r="F1702" s="34" t="n"/>
      <c r="G1702" s="34" t="n"/>
      <c r="H1702" s="34" t="n"/>
      <c r="I1702" s="34" t="n"/>
      <c r="J1702" s="16" t="n"/>
    </row>
    <row r="1703">
      <c r="A1703" s="43" t="n"/>
      <c r="B1703" s="44" t="n"/>
      <c r="C1703" s="43" t="n"/>
      <c r="D1703" s="19" t="inlineStr">
        <is>
          <t>Other Required:</t>
        </is>
      </c>
      <c r="E1703" s="35" t="inlineStr">
        <is>
          <t>None</t>
        </is>
      </c>
      <c r="F1703" s="35" t="n"/>
      <c r="G1703" s="35" t="n"/>
      <c r="H1703" s="35" t="n"/>
      <c r="I1703" s="35" t="n"/>
      <c r="J1703" s="16" t="n"/>
    </row>
    <row r="1704">
      <c r="A1704" s="41" t="b">
        <v>1</v>
      </c>
      <c r="B1704" s="31" t="inlineStr">
        <is>
          <t>Narrow Magma Path: Magma Narrow Path</t>
        </is>
      </c>
      <c r="C1704" s="35" t="inlineStr">
        <is>
          <t>Lava Bubble</t>
        </is>
      </c>
      <c r="D1704" s="12" t="inlineStr">
        <is>
          <t>Minimum Jump Height:</t>
        </is>
      </c>
      <c r="E1704" s="34" t="inlineStr">
        <is>
          <t>Single Jump (258)</t>
        </is>
      </c>
      <c r="F1704" s="34" t="n"/>
      <c r="G1704" s="34" t="n"/>
      <c r="H1704" s="34" t="n"/>
      <c r="I1704" s="34" t="n"/>
      <c r="J1704" s="16" t="n"/>
    </row>
    <row r="1705">
      <c r="B1705" s="42" t="n"/>
      <c r="D1705" s="12" t="inlineStr">
        <is>
          <t>Cap Throws that work:</t>
        </is>
      </c>
      <c r="E1705" s="34" t="inlineStr">
        <is>
          <t>Neutral Throw, Up Throw, Down Throw, Spin Throw</t>
        </is>
      </c>
      <c r="F1705" s="34" t="n"/>
      <c r="G1705" s="34" t="n"/>
      <c r="H1705" s="34" t="n"/>
      <c r="I1705" s="34" t="n"/>
      <c r="J1705" s="16" t="n"/>
    </row>
    <row r="1706">
      <c r="A1706" s="43" t="n"/>
      <c r="B1706" s="44" t="n"/>
      <c r="C1706" s="43" t="n"/>
      <c r="D1706" s="19" t="inlineStr">
        <is>
          <t>Other Required:</t>
        </is>
      </c>
      <c r="E1706" s="35" t="inlineStr">
        <is>
          <t>Capture</t>
        </is>
      </c>
      <c r="F1706" s="35" t="n"/>
      <c r="G1706" s="35" t="n"/>
      <c r="H1706" s="35" t="n"/>
      <c r="I1706" s="35" t="n"/>
      <c r="J1706" s="16" t="n"/>
    </row>
    <row r="1707">
      <c r="A1707" s="41" t="b">
        <v>1</v>
      </c>
      <c r="B1707" s="31" t="inlineStr">
        <is>
          <t>Narrow Magma Path: Crossing to the Magma</t>
        </is>
      </c>
      <c r="C1707" s="35" t="inlineStr">
        <is>
          <t>Lava Bubble</t>
        </is>
      </c>
      <c r="D1707" s="12" t="inlineStr">
        <is>
          <t>Minimum Jump Height:</t>
        </is>
      </c>
      <c r="E1707" s="34" t="inlineStr">
        <is>
          <t>Single Jump (258)</t>
        </is>
      </c>
      <c r="F1707" s="34" t="n"/>
      <c r="G1707" s="34" t="n"/>
      <c r="H1707" s="34" t="n"/>
      <c r="I1707" s="34" t="n"/>
      <c r="J1707" s="16" t="n"/>
    </row>
    <row r="1708">
      <c r="B1708" s="42" t="n"/>
      <c r="D1708" s="12" t="inlineStr">
        <is>
          <t>Cap Throws that work:</t>
        </is>
      </c>
      <c r="E1708" s="34" t="inlineStr">
        <is>
          <t>Neutral Throw, Up Throw, Down Throw, Spin Throw</t>
        </is>
      </c>
      <c r="F1708" s="34" t="n"/>
      <c r="G1708" s="34" t="n"/>
      <c r="H1708" s="34" t="n"/>
      <c r="I1708" s="34" t="n"/>
      <c r="J1708" s="16" t="n"/>
    </row>
    <row r="1709">
      <c r="A1709" s="43" t="n"/>
      <c r="B1709" s="44" t="n"/>
      <c r="C1709" s="43" t="n"/>
      <c r="D1709" s="19" t="inlineStr">
        <is>
          <t>Other Required:</t>
        </is>
      </c>
      <c r="E1709" s="35" t="inlineStr">
        <is>
          <t>Capture</t>
        </is>
      </c>
      <c r="F1709" s="35" t="n"/>
      <c r="G1709" s="35" t="n"/>
      <c r="H1709" s="35" t="n"/>
      <c r="I1709" s="35" t="n"/>
      <c r="J1709" s="16" t="n"/>
    </row>
    <row r="1710">
      <c r="A1710" s="41" t="b">
        <v>1</v>
      </c>
      <c r="B1710" s="31" t="inlineStr">
        <is>
          <t>Fork-Flickin to the Summit: Fork Flickin' to the Summit</t>
        </is>
      </c>
      <c r="C1710" s="35" t="inlineStr">
        <is>
          <t>Volbonan</t>
        </is>
      </c>
      <c r="D1710" s="12" t="inlineStr">
        <is>
          <t>Minimum Jump Height:</t>
        </is>
      </c>
      <c r="E1710" s="34" t="inlineStr">
        <is>
          <t>Single Jump (258)</t>
        </is>
      </c>
      <c r="F1710" s="34" t="n"/>
      <c r="G1710" s="34" t="n"/>
      <c r="H1710" s="34" t="n"/>
      <c r="I1710" s="34" t="n"/>
      <c r="J1710" s="16" t="n"/>
    </row>
    <row r="1711">
      <c r="B1711" s="42" t="n"/>
      <c r="D1711" s="12" t="inlineStr">
        <is>
          <t>Cap Throws that work:</t>
        </is>
      </c>
      <c r="E1711" s="34" t="inlineStr">
        <is>
          <t>Up Throw, Neutral Throw, Spin Throw</t>
        </is>
      </c>
      <c r="F1711" s="34" t="n"/>
      <c r="G1711" s="34" t="n"/>
      <c r="H1711" s="34" t="n"/>
      <c r="I1711" s="34" t="n"/>
      <c r="J1711" s="16" t="n"/>
    </row>
    <row r="1712">
      <c r="A1712" s="43" t="n"/>
      <c r="B1712" s="44" t="n"/>
      <c r="C1712" s="43" t="n"/>
      <c r="D1712" s="19" t="inlineStr">
        <is>
          <t>Other Required:</t>
        </is>
      </c>
      <c r="E1712" s="35" t="inlineStr">
        <is>
          <t>Capture</t>
        </is>
      </c>
      <c r="F1712" s="35" t="n"/>
      <c r="G1712" s="35" t="n"/>
      <c r="H1712" s="35" t="n"/>
      <c r="I1712" s="35" t="n"/>
      <c r="J1712" s="16" t="n"/>
    </row>
    <row r="1713">
      <c r="A1713" s="41" t="b">
        <v>1</v>
      </c>
      <c r="B1713" s="31" t="inlineStr">
        <is>
          <t>Fork-Flickin to the Summit: Fork Flickin' Detour</t>
        </is>
      </c>
      <c r="C1713" s="35" t="inlineStr">
        <is>
          <t>Volbonan</t>
        </is>
      </c>
      <c r="D1713" s="12" t="inlineStr">
        <is>
          <t>Minimum Jump Height:</t>
        </is>
      </c>
      <c r="E1713" s="34" t="inlineStr">
        <is>
          <t>Single Jump (258)</t>
        </is>
      </c>
      <c r="F1713" s="34" t="inlineStr">
        <is>
          <t>Backflip/Vault/Side Flip (496)</t>
        </is>
      </c>
      <c r="G1713" s="34" t="n"/>
      <c r="H1713" s="34" t="n"/>
      <c r="I1713" s="34" t="n"/>
      <c r="J1713" s="16" t="inlineStr">
        <is>
          <t>You dont need the Volbonan capture if you spawn at Volbonan exit</t>
        </is>
      </c>
    </row>
    <row r="1714">
      <c r="B1714" s="42" t="n"/>
      <c r="D1714" s="12" t="inlineStr">
        <is>
          <t>Cap Throws that work:</t>
        </is>
      </c>
      <c r="E1714" s="34" t="inlineStr">
        <is>
          <t>Neutral Throw, Up Throw, Spin Throw</t>
        </is>
      </c>
      <c r="F1714" s="34" t="inlineStr">
        <is>
          <t>Neutral Throw</t>
        </is>
      </c>
      <c r="G1714" s="34" t="n"/>
      <c r="H1714" s="34" t="n"/>
      <c r="I1714" s="34" t="n"/>
      <c r="J1714" s="16" t="n"/>
    </row>
    <row r="1715">
      <c r="A1715" s="43" t="n"/>
      <c r="B1715" s="44" t="n"/>
      <c r="C1715" s="43" t="n"/>
      <c r="D1715" s="19" t="inlineStr">
        <is>
          <t>Other Required:</t>
        </is>
      </c>
      <c r="E1715" s="35" t="inlineStr">
        <is>
          <t>Capture</t>
        </is>
      </c>
      <c r="F1715" s="35" t="inlineStr">
        <is>
          <t>Dive</t>
        </is>
      </c>
      <c r="G1715" s="35" t="n"/>
      <c r="H1715" s="35" t="n"/>
      <c r="I1715" s="35" t="n"/>
      <c r="J1715" s="16" t="n"/>
    </row>
    <row r="1716">
      <c r="A1716" s="41" t="b">
        <v>1</v>
      </c>
      <c r="B1716" s="31" t="inlineStr">
        <is>
          <t>Shards in the Cheese Rocks: Excavate 'n' Search the Cheese Rocks</t>
        </is>
      </c>
      <c r="C1716" s="35" t="inlineStr">
        <is>
          <t>Hammer Bro</t>
        </is>
      </c>
      <c r="D1716" s="12" t="inlineStr">
        <is>
          <t>Minimum Jump Height:</t>
        </is>
      </c>
      <c r="E1716" s="34" t="inlineStr">
        <is>
          <t>Single Jump (258)</t>
        </is>
      </c>
      <c r="F1716" s="34" t="n"/>
      <c r="G1716" s="34" t="n"/>
      <c r="H1716" s="34" t="n"/>
      <c r="I1716" s="34" t="n"/>
      <c r="J1716" s="16" t="n"/>
    </row>
    <row r="1717">
      <c r="B1717" s="42" t="n"/>
      <c r="D1717" s="12" t="inlineStr">
        <is>
          <t>Cap Throws that work:</t>
        </is>
      </c>
      <c r="E1717" s="34" t="inlineStr">
        <is>
          <t>Neutral Throw, Up Throw, Down Throw, Spin Throw</t>
        </is>
      </c>
      <c r="F1717" s="34" t="n"/>
      <c r="G1717" s="34" t="n"/>
      <c r="H1717" s="34" t="n"/>
      <c r="I1717" s="34" t="n"/>
      <c r="J1717" s="16" t="n"/>
    </row>
    <row r="1718">
      <c r="A1718" s="43" t="n"/>
      <c r="B1718" s="44" t="n"/>
      <c r="C1718" s="43" t="n"/>
      <c r="D1718" s="19" t="inlineStr">
        <is>
          <t>Other Required:</t>
        </is>
      </c>
      <c r="E1718" s="35" t="inlineStr">
        <is>
          <t>Capture</t>
        </is>
      </c>
      <c r="F1718" s="35" t="n"/>
      <c r="G1718" s="35" t="n"/>
      <c r="H1718" s="35" t="n"/>
      <c r="I1718" s="35" t="n"/>
      <c r="J1718" s="16" t="n"/>
    </row>
    <row r="1719">
      <c r="A1719" s="41" t="b">
        <v>1</v>
      </c>
      <c r="B1719" s="31" t="inlineStr">
        <is>
          <t>Shards in the Cheese Rocks: Climb the Cheese Rocks</t>
        </is>
      </c>
      <c r="C1719" s="35" t="inlineStr">
        <is>
          <t>Hammer Bro</t>
        </is>
      </c>
      <c r="D1719" s="12" t="inlineStr">
        <is>
          <t>Minimum Jump Height:</t>
        </is>
      </c>
      <c r="E1719" s="34" t="inlineStr">
        <is>
          <t>Single Jump (258)</t>
        </is>
      </c>
      <c r="F1719" s="34" t="n"/>
      <c r="G1719" s="34" t="n"/>
      <c r="H1719" s="34" t="n"/>
      <c r="I1719" s="34" t="n"/>
      <c r="J1719" s="16" t="n"/>
    </row>
    <row r="1720">
      <c r="B1720" s="42" t="n"/>
      <c r="D1720" s="12" t="inlineStr">
        <is>
          <t>Cap Throws that work:</t>
        </is>
      </c>
      <c r="E1720" s="34" t="inlineStr">
        <is>
          <t>Neutral Throw, Up Throw, Spin Throw, Down Throw</t>
        </is>
      </c>
      <c r="F1720" s="34" t="n"/>
      <c r="G1720" s="34" t="n"/>
      <c r="H1720" s="34" t="n"/>
      <c r="I1720" s="34" t="n"/>
      <c r="J1720" s="16" t="n"/>
    </row>
    <row r="1721">
      <c r="A1721" s="43" t="n"/>
      <c r="B1721" s="44" t="n"/>
      <c r="C1721" s="43" t="n"/>
      <c r="D1721" s="19" t="inlineStr">
        <is>
          <t>Other Required:</t>
        </is>
      </c>
      <c r="E1721" s="35" t="inlineStr">
        <is>
          <t>Capture</t>
        </is>
      </c>
      <c r="F1721" s="35" t="n"/>
      <c r="G1721" s="35" t="n"/>
      <c r="H1721" s="35" t="n"/>
      <c r="I1721" s="35" t="n"/>
      <c r="J1721" s="16" t="n"/>
    </row>
    <row r="1722">
      <c r="A1722" s="41" t="b">
        <v>1</v>
      </c>
      <c r="B1722" s="31" t="inlineStr">
        <is>
          <t>Spinning Athletics: Spinning Athletics End Goal</t>
        </is>
      </c>
      <c r="C1722" s="35" t="n"/>
      <c r="D1722" s="12" t="inlineStr">
        <is>
          <t>Minimum Jump Height:</t>
        </is>
      </c>
      <c r="E1722" s="34" t="inlineStr">
        <is>
          <t>Single Jump (258)</t>
        </is>
      </c>
      <c r="F1722" s="34" t="n"/>
      <c r="G1722" s="34" t="n"/>
      <c r="H1722" s="34" t="n"/>
      <c r="I1722" s="34" t="n"/>
      <c r="J1722" s="16" t="n"/>
    </row>
    <row r="1723">
      <c r="B1723" s="42" t="n"/>
      <c r="D1723" s="12" t="inlineStr">
        <is>
          <t>Cap Throws that work:</t>
        </is>
      </c>
      <c r="E1723" s="34" t="inlineStr">
        <is>
          <t>Neutral Throw, Up Throw, Spin Throw, Down Throw</t>
        </is>
      </c>
      <c r="F1723" s="34" t="n"/>
      <c r="G1723" s="34" t="n"/>
      <c r="H1723" s="34" t="n"/>
      <c r="I1723" s="34" t="n"/>
      <c r="J1723" s="16" t="n"/>
    </row>
    <row r="1724">
      <c r="A1724" s="43" t="n"/>
      <c r="B1724" s="44" t="n"/>
      <c r="C1724" s="43" t="n"/>
      <c r="D1724" s="19" t="inlineStr">
        <is>
          <t>Other Required:</t>
        </is>
      </c>
      <c r="E1724" s="35" t="inlineStr">
        <is>
          <t>None</t>
        </is>
      </c>
      <c r="F1724" s="35" t="n"/>
      <c r="G1724" s="35" t="n"/>
      <c r="H1724" s="35" t="n"/>
      <c r="I1724" s="35" t="n"/>
      <c r="J1724" s="16" t="n"/>
    </row>
    <row r="1725">
      <c r="A1725" s="41" t="b">
        <v>1</v>
      </c>
      <c r="B1725" s="31" t="inlineStr">
        <is>
          <t>Spinning Athletics: Taking Notes: Spinning Athletics</t>
        </is>
      </c>
      <c r="C1725" s="35" t="n"/>
      <c r="D1725" s="12" t="inlineStr">
        <is>
          <t>Minimum Jump Height:</t>
        </is>
      </c>
      <c r="E1725" s="34" t="inlineStr">
        <is>
          <t>Single Jump (258)</t>
        </is>
      </c>
      <c r="F1725" s="34" t="n"/>
      <c r="G1725" s="34" t="n"/>
      <c r="H1725" s="34" t="n"/>
      <c r="I1725" s="34" t="n"/>
      <c r="J1725" s="16" t="n"/>
    </row>
    <row r="1726">
      <c r="B1726" s="42" t="n"/>
      <c r="D1726" s="12" t="inlineStr">
        <is>
          <t>Cap Throws that work:</t>
        </is>
      </c>
      <c r="E1726" s="34" t="inlineStr">
        <is>
          <t>Neutral Throw, Up Throw, Down Throw, Spin Throw</t>
        </is>
      </c>
      <c r="F1726" s="34" t="n"/>
      <c r="G1726" s="34" t="n"/>
      <c r="H1726" s="34" t="n"/>
      <c r="I1726" s="34" t="n"/>
      <c r="J1726" s="16" t="n"/>
    </row>
    <row r="1727">
      <c r="A1727" s="43" t="n"/>
      <c r="B1727" s="44" t="n"/>
      <c r="C1727" s="43" t="n"/>
      <c r="D1727" s="19" t="inlineStr">
        <is>
          <t>Other Required:</t>
        </is>
      </c>
      <c r="E1727" s="35" t="n"/>
      <c r="F1727" s="35" t="n"/>
      <c r="G1727" s="35" t="n"/>
      <c r="H1727" s="35" t="n"/>
      <c r="I1727" s="35" t="n"/>
      <c r="J1727" s="16" t="n"/>
    </row>
    <row r="1728">
      <c r="A1728" s="41" t="b">
        <v>1</v>
      </c>
      <c r="B1728" s="31" t="inlineStr">
        <is>
          <t>Luncheon Kingdom: Secret Path to Mount Volbono!</t>
        </is>
      </c>
      <c r="C1728" s="35" t="n"/>
      <c r="D1728" s="12" t="inlineStr">
        <is>
          <t>Minimum Jump Height:</t>
        </is>
      </c>
      <c r="E1728" s="34" t="inlineStr">
        <is>
          <t>Single Jump (258)</t>
        </is>
      </c>
      <c r="F1728" s="34" t="n"/>
      <c r="G1728" s="34" t="n"/>
      <c r="H1728" s="34" t="n"/>
      <c r="I1728" s="34" t="n"/>
      <c r="J1728" s="16" t="n"/>
    </row>
    <row r="1729">
      <c r="B1729" s="42" t="n"/>
      <c r="D1729" s="12" t="inlineStr">
        <is>
          <t>Cap Throws that work:</t>
        </is>
      </c>
      <c r="E1729" s="34" t="inlineStr">
        <is>
          <t>No Cap Throw Needed</t>
        </is>
      </c>
      <c r="F1729" s="34" t="n"/>
      <c r="G1729" s="34" t="n"/>
      <c r="H1729" s="34" t="n"/>
      <c r="I1729" s="34" t="n"/>
      <c r="J1729" s="16" t="n"/>
    </row>
    <row r="1730">
      <c r="A1730" s="43" t="n"/>
      <c r="B1730" s="44" t="n"/>
      <c r="C1730" s="43" t="n"/>
      <c r="D1730" s="19" t="inlineStr">
        <is>
          <t>Other Required:</t>
        </is>
      </c>
      <c r="E1730" s="35" t="n"/>
      <c r="F1730" s="35" t="n"/>
      <c r="G1730" s="35" t="n"/>
      <c r="H1730" s="35" t="n"/>
      <c r="I1730" s="35" t="n"/>
      <c r="J1730" s="16" t="n"/>
    </row>
    <row r="1731">
      <c r="A1731" s="41" t="b">
        <v>1</v>
      </c>
      <c r="B1731" s="31" t="inlineStr">
        <is>
          <t>Luncheon Kingdom: A Tourist in the Luncheon Kingdom!</t>
        </is>
      </c>
      <c r="C1731" s="35" t="n"/>
      <c r="D1731" s="12" t="inlineStr">
        <is>
          <t>Minimum Jump Height:</t>
        </is>
      </c>
      <c r="E1731" s="34" t="inlineStr">
        <is>
          <t>No Jump Needed</t>
        </is>
      </c>
      <c r="F1731" s="34" t="n"/>
      <c r="G1731" s="34" t="n"/>
      <c r="H1731" s="34" t="n"/>
      <c r="I1731" s="34" t="n"/>
      <c r="J1731" s="16" t="n"/>
    </row>
    <row r="1732">
      <c r="B1732" s="42" t="n"/>
      <c r="D1732" s="12" t="inlineStr">
        <is>
          <t>Cap Throws that work:</t>
        </is>
      </c>
      <c r="E1732" s="34" t="inlineStr">
        <is>
          <t>No Cap Throw Needed</t>
        </is>
      </c>
      <c r="F1732" s="34" t="n"/>
      <c r="G1732" s="34" t="n"/>
      <c r="H1732" s="34" t="n"/>
      <c r="I1732" s="34" t="n"/>
      <c r="J1732" s="16" t="n"/>
    </row>
    <row r="1733">
      <c r="A1733" s="43" t="n"/>
      <c r="B1733" s="44" t="n"/>
      <c r="C1733" s="43" t="n"/>
      <c r="D1733" s="19" t="inlineStr">
        <is>
          <t>Other Required:</t>
        </is>
      </c>
      <c r="E1733" s="35" t="n"/>
      <c r="F1733" s="35" t="n"/>
      <c r="G1733" s="35" t="n"/>
      <c r="H1733" s="35" t="n"/>
      <c r="I1733" s="35" t="n"/>
      <c r="J1733" s="16" t="n"/>
    </row>
    <row r="1734">
      <c r="A1734" s="41" t="b">
        <v>1</v>
      </c>
      <c r="B1734" s="31" t="inlineStr">
        <is>
          <t>Luncheon Kingdom: Found with Luncheon Kingdom Art</t>
        </is>
      </c>
      <c r="C1734" s="35" t="n"/>
      <c r="D1734" s="12" t="inlineStr">
        <is>
          <t>Minimum Jump Height:</t>
        </is>
      </c>
      <c r="E1734" s="34" t="inlineStr">
        <is>
          <t>No Jump Needed</t>
        </is>
      </c>
      <c r="F1734" s="34" t="n"/>
      <c r="G1734" s="34" t="n"/>
      <c r="H1734" s="34" t="n"/>
      <c r="I1734" s="34" t="n"/>
      <c r="J1734" s="16" t="n"/>
    </row>
    <row r="1735">
      <c r="B1735" s="42" t="n"/>
      <c r="D1735" s="12" t="inlineStr">
        <is>
          <t>Cap Throws that work:</t>
        </is>
      </c>
      <c r="E1735" s="34" t="inlineStr">
        <is>
          <t>No Cap Throw Needed</t>
        </is>
      </c>
      <c r="F1735" s="34" t="n"/>
      <c r="G1735" s="34" t="n"/>
      <c r="H1735" s="34" t="n"/>
      <c r="I1735" s="34" t="n"/>
      <c r="J1735" s="16" t="n"/>
    </row>
    <row r="1736">
      <c r="A1736" s="43" t="n"/>
      <c r="B1736" s="44" t="n"/>
      <c r="C1736" s="43" t="n"/>
      <c r="D1736" s="19" t="inlineStr">
        <is>
          <t>Other Required:</t>
        </is>
      </c>
      <c r="E1736" s="35" t="n"/>
      <c r="F1736" s="35" t="n"/>
      <c r="G1736" s="35" t="n"/>
      <c r="H1736" s="35" t="n"/>
      <c r="I1736" s="35" t="n"/>
      <c r="J1736" s="16" t="n"/>
    </row>
    <row r="1737">
      <c r="A1737" s="41" t="b">
        <v>1</v>
      </c>
      <c r="B1737" s="31" t="inlineStr">
        <is>
          <t>Luncheon Kingdom: The Rooftop Lantern</t>
        </is>
      </c>
      <c r="C1737" s="34" t="inlineStr">
        <is>
          <t>Fire Bro</t>
        </is>
      </c>
      <c r="D1737" s="12" t="inlineStr">
        <is>
          <t>Minimum Jump Height:</t>
        </is>
      </c>
      <c r="E1737" s="34" t="inlineStr">
        <is>
          <t>Single Jump (258)</t>
        </is>
      </c>
      <c r="F1737" s="34" t="n"/>
      <c r="G1737" s="34" t="n"/>
      <c r="H1737" s="34" t="n"/>
      <c r="I1737" s="34" t="n"/>
      <c r="J1737" s="16" t="n"/>
    </row>
    <row r="1738">
      <c r="B1738" s="42" t="n"/>
      <c r="C1738" s="34" t="inlineStr">
        <is>
          <t>Lava Bubble</t>
        </is>
      </c>
      <c r="D1738" s="12" t="inlineStr">
        <is>
          <t>Cap Throws that work:</t>
        </is>
      </c>
      <c r="E1738" s="34" t="inlineStr">
        <is>
          <t>Neutral Throw, Up Throw, Down Throw, Spin Throw</t>
        </is>
      </c>
      <c r="F1738" s="34" t="n"/>
      <c r="G1738" s="34" t="n"/>
      <c r="H1738" s="34" t="n"/>
      <c r="I1738" s="34" t="n"/>
      <c r="J1738" s="16" t="n"/>
    </row>
    <row r="1739">
      <c r="A1739" s="43" t="n"/>
      <c r="B1739" s="44" t="n"/>
      <c r="C1739" s="35" t="n"/>
      <c r="D1739" s="19" t="inlineStr">
        <is>
          <t>Other Required:</t>
        </is>
      </c>
      <c r="E1739" s="35" t="inlineStr">
        <is>
          <t>Capture</t>
        </is>
      </c>
      <c r="F1739" s="35" t="n"/>
      <c r="G1739" s="35" t="n"/>
      <c r="H1739" s="35" t="n"/>
      <c r="I1739" s="35" t="n"/>
      <c r="J1739" s="16" t="n"/>
    </row>
    <row r="1740">
      <c r="A1740" s="41" t="b">
        <v>1</v>
      </c>
      <c r="B1740" s="31" t="inlineStr">
        <is>
          <t>Luncheon Kingdom: Jammin' in the Luncheon Kingdom</t>
        </is>
      </c>
      <c r="C1740" s="35" t="n"/>
      <c r="D1740" s="12" t="inlineStr">
        <is>
          <t>Minimum Jump Height:</t>
        </is>
      </c>
      <c r="E1740" s="34" t="inlineStr">
        <is>
          <t>Long Jump</t>
        </is>
      </c>
      <c r="F1740" s="34" t="n"/>
      <c r="G1740" s="34" t="n"/>
      <c r="H1740" s="34" t="n"/>
      <c r="I1740" s="34" t="n"/>
      <c r="J1740" s="16" t="n"/>
    </row>
    <row r="1741">
      <c r="B1741" s="42" t="n"/>
      <c r="D1741" s="12" t="inlineStr">
        <is>
          <t>Cap Throws that work:</t>
        </is>
      </c>
      <c r="E1741" s="34" t="inlineStr">
        <is>
          <t>No Cap Throw Needed</t>
        </is>
      </c>
      <c r="F1741" s="34" t="n"/>
      <c r="G1741" s="34" t="n"/>
      <c r="H1741" s="34" t="n"/>
      <c r="I1741" s="34" t="n"/>
      <c r="J1741" s="16" t="n"/>
    </row>
    <row r="1742">
      <c r="A1742" s="43" t="n"/>
      <c r="B1742" s="44" t="n"/>
      <c r="C1742" s="43" t="n"/>
      <c r="D1742" s="19" t="inlineStr">
        <is>
          <t>Other Required:</t>
        </is>
      </c>
      <c r="E1742" s="35" t="inlineStr">
        <is>
          <t>None</t>
        </is>
      </c>
      <c r="F1742" s="35" t="n"/>
      <c r="G1742" s="35" t="n"/>
      <c r="H1742" s="35" t="n"/>
      <c r="I1742" s="35" t="n"/>
      <c r="J1742" s="16" t="n"/>
    </row>
    <row r="1743">
      <c r="A1743" s="41" t="b">
        <v>1</v>
      </c>
      <c r="B1743" s="31" t="inlineStr">
        <is>
          <t>Luncheon Kingdom: Mechanic: Repairs Complete!</t>
        </is>
      </c>
      <c r="C1743" s="35" t="n"/>
      <c r="D1743" s="12" t="inlineStr">
        <is>
          <t>Minimum Jump Height:</t>
        </is>
      </c>
      <c r="E1743" s="34" t="inlineStr">
        <is>
          <t>Single Jump (258)</t>
        </is>
      </c>
      <c r="F1743" s="34" t="n"/>
      <c r="G1743" s="34" t="n"/>
      <c r="H1743" s="34" t="n"/>
      <c r="I1743" s="34" t="n"/>
      <c r="J1743" s="16" t="n"/>
    </row>
    <row r="1744">
      <c r="B1744" s="42" t="n"/>
      <c r="D1744" s="12" t="inlineStr">
        <is>
          <t>Cap Throws that work:</t>
        </is>
      </c>
      <c r="E1744" s="34" t="inlineStr">
        <is>
          <t>No Cap Throw Needed</t>
        </is>
      </c>
      <c r="F1744" s="34" t="n"/>
      <c r="G1744" s="34" t="n"/>
      <c r="H1744" s="34" t="n"/>
      <c r="I1744" s="34" t="n"/>
      <c r="J1744" s="16" t="n"/>
    </row>
    <row r="1745">
      <c r="A1745" s="43" t="n"/>
      <c r="B1745" s="44" t="n"/>
      <c r="C1745" s="43" t="n"/>
      <c r="D1745" s="19" t="inlineStr">
        <is>
          <t>Other Required:</t>
        </is>
      </c>
      <c r="E1745" s="35" t="n"/>
      <c r="F1745" s="35" t="n"/>
      <c r="G1745" s="35" t="n"/>
      <c r="H1745" s="35" t="n"/>
      <c r="I1745" s="35" t="n"/>
      <c r="J1745" s="16" t="n"/>
    </row>
    <row r="1746">
      <c r="A1746" s="41" t="b">
        <v>1</v>
      </c>
      <c r="B1746" s="31" t="inlineStr">
        <is>
          <t>Luncheon Kingdom: Diving from the Big Pot!</t>
        </is>
      </c>
      <c r="C1746" s="35" t="inlineStr">
        <is>
          <t>Lava Bubble</t>
        </is>
      </c>
      <c r="D1746" s="12" t="inlineStr">
        <is>
          <t>Minimum Jump Height:</t>
        </is>
      </c>
      <c r="E1746" s="34" t="inlineStr">
        <is>
          <t>Single Jump (258)</t>
        </is>
      </c>
      <c r="F1746" s="34" t="n"/>
      <c r="G1746" s="34" t="n"/>
      <c r="H1746" s="34" t="n"/>
      <c r="I1746" s="34" t="n"/>
      <c r="J1746" s="16" t="n"/>
    </row>
    <row r="1747">
      <c r="B1747" s="42" t="n"/>
      <c r="D1747" s="12" t="inlineStr">
        <is>
          <t>Cap Throws that work:</t>
        </is>
      </c>
      <c r="E1747" s="34" t="inlineStr">
        <is>
          <t>Neutral Throw, Up Throw, Down Throw, Spin Throw</t>
        </is>
      </c>
      <c r="F1747" s="34" t="n"/>
      <c r="G1747" s="34" t="n"/>
      <c r="H1747" s="34" t="n"/>
      <c r="I1747" s="34" t="n"/>
      <c r="J1747" s="16" t="n"/>
    </row>
    <row r="1748">
      <c r="A1748" s="43" t="n"/>
      <c r="B1748" s="44" t="n"/>
      <c r="C1748" s="43" t="n"/>
      <c r="D1748" s="19" t="inlineStr">
        <is>
          <t>Other Required:</t>
        </is>
      </c>
      <c r="E1748" s="35" t="inlineStr">
        <is>
          <t>Capture</t>
        </is>
      </c>
      <c r="F1748" s="35" t="n"/>
      <c r="G1748" s="35" t="n"/>
      <c r="H1748" s="35" t="n"/>
      <c r="I1748" s="35" t="n"/>
      <c r="J1748" s="16" t="n"/>
    </row>
    <row r="1749">
      <c r="A1749" s="41" t="b">
        <v>1</v>
      </c>
      <c r="B1749" s="31" t="inlineStr">
        <is>
          <t>Luncheon Kingdom: Hat-and-Seek: Among the Food</t>
        </is>
      </c>
      <c r="C1749" s="35" t="n"/>
      <c r="D1749" s="12" t="inlineStr">
        <is>
          <t>Minimum Jump Height:</t>
        </is>
      </c>
      <c r="E1749" s="34" t="inlineStr">
        <is>
          <t>No Jump Needed</t>
        </is>
      </c>
      <c r="F1749" s="34" t="n"/>
      <c r="G1749" s="34" t="n"/>
      <c r="H1749" s="34" t="n"/>
      <c r="I1749" s="34" t="n"/>
      <c r="J1749" s="16" t="n"/>
    </row>
    <row r="1750">
      <c r="B1750" s="42" t="n"/>
      <c r="D1750" s="12" t="inlineStr">
        <is>
          <t>Cap Throws that work:</t>
        </is>
      </c>
      <c r="E1750" s="34" t="inlineStr">
        <is>
          <t>No Cap Throw Needed</t>
        </is>
      </c>
      <c r="F1750" s="34" t="n"/>
      <c r="G1750" s="34" t="n"/>
      <c r="H1750" s="34" t="n"/>
      <c r="I1750" s="34" t="n"/>
      <c r="J1750" s="16" t="n"/>
    </row>
    <row r="1751">
      <c r="A1751" s="43" t="n"/>
      <c r="B1751" s="44" t="n"/>
      <c r="C1751" s="43" t="n"/>
      <c r="D1751" s="19" t="inlineStr">
        <is>
          <t>Other Required:</t>
        </is>
      </c>
      <c r="E1751" s="35" t="inlineStr">
        <is>
          <t>None</t>
        </is>
      </c>
      <c r="F1751" s="35" t="n"/>
      <c r="G1751" s="35" t="n"/>
      <c r="H1751" s="35" t="n"/>
      <c r="I1751" s="35" t="n"/>
      <c r="J1751" s="16" t="n"/>
    </row>
    <row r="1752">
      <c r="A1752" s="41" t="b">
        <v>1</v>
      </c>
      <c r="B1752" s="31" t="inlineStr">
        <is>
          <t>Luncheon Kingdom: Luncheon Kingdom: Regular Cup</t>
        </is>
      </c>
      <c r="C1752" s="34" t="inlineStr">
        <is>
          <t>Fire Bro</t>
        </is>
      </c>
      <c r="D1752" s="12" t="inlineStr">
        <is>
          <t>Minimum Jump Height:</t>
        </is>
      </c>
      <c r="E1752" s="34" t="inlineStr">
        <is>
          <t>Backflip/Vault/Side Flip (496)</t>
        </is>
      </c>
      <c r="F1752" s="34" t="n"/>
      <c r="G1752" s="34" t="n"/>
      <c r="H1752" s="34" t="n"/>
      <c r="I1752" s="34" t="n"/>
      <c r="J1752" s="16" t="n"/>
    </row>
    <row r="1753">
      <c r="B1753" s="42" t="n"/>
      <c r="C1753" s="34" t="inlineStr">
        <is>
          <t>Lava Bubble</t>
        </is>
      </c>
      <c r="D1753" s="12" t="inlineStr">
        <is>
          <t>Cap Throws that work:</t>
        </is>
      </c>
      <c r="E1753" s="34" t="inlineStr">
        <is>
          <t>Neutral Throw, Up Throw, Down Throw, Spin Throw</t>
        </is>
      </c>
      <c r="F1753" s="34" t="n"/>
      <c r="G1753" s="34" t="n"/>
      <c r="H1753" s="34" t="n"/>
      <c r="I1753" s="34" t="n"/>
      <c r="J1753" s="16" t="n"/>
    </row>
    <row r="1754">
      <c r="A1754" s="43" t="n"/>
      <c r="B1754" s="44" t="n"/>
      <c r="C1754" s="35" t="n"/>
      <c r="D1754" s="19" t="inlineStr">
        <is>
          <t>Other Required:</t>
        </is>
      </c>
      <c r="E1754" s="35" t="inlineStr">
        <is>
          <t>Wall Slide, Capture</t>
        </is>
      </c>
      <c r="F1754" s="35" t="n"/>
      <c r="G1754" s="35" t="n"/>
      <c r="H1754" s="35" t="n"/>
      <c r="I1754" s="35" t="n"/>
      <c r="J1754" s="16" t="n"/>
    </row>
    <row r="1755">
      <c r="A1755" s="41" t="b">
        <v>1</v>
      </c>
      <c r="B1755" s="31" t="inlineStr">
        <is>
          <t>Luncheon Kingdom: Peach in the Luncheon Kingdom</t>
        </is>
      </c>
      <c r="C1755" s="35" t="n"/>
      <c r="D1755" s="12" t="inlineStr">
        <is>
          <t>Minimum Jump Height:</t>
        </is>
      </c>
      <c r="E1755" s="34" t="inlineStr">
        <is>
          <t>No Jump Needed</t>
        </is>
      </c>
      <c r="F1755" s="34" t="n"/>
      <c r="G1755" s="34" t="n"/>
      <c r="H1755" s="34" t="n"/>
      <c r="I1755" s="34" t="n"/>
      <c r="J1755" s="16" t="n"/>
    </row>
    <row r="1756">
      <c r="B1756" s="42" t="n"/>
      <c r="D1756" s="12" t="inlineStr">
        <is>
          <t>Cap Throws that work:</t>
        </is>
      </c>
      <c r="E1756" s="34" t="inlineStr">
        <is>
          <t>No Cap Throw Needed</t>
        </is>
      </c>
      <c r="F1756" s="34" t="n"/>
      <c r="G1756" s="34" t="n"/>
      <c r="H1756" s="34" t="n"/>
      <c r="I1756" s="34" t="n"/>
      <c r="J1756" s="16" t="n"/>
    </row>
    <row r="1757">
      <c r="A1757" s="43" t="n"/>
      <c r="B1757" s="44" t="n"/>
      <c r="C1757" s="43" t="n"/>
      <c r="D1757" s="19" t="inlineStr">
        <is>
          <t>Other Required:</t>
        </is>
      </c>
      <c r="E1757" s="35" t="inlineStr">
        <is>
          <t>None</t>
        </is>
      </c>
      <c r="F1757" s="35" t="n"/>
      <c r="G1757" s="35" t="n"/>
      <c r="H1757" s="35" t="n"/>
      <c r="I1757" s="35" t="n"/>
      <c r="J1757" s="16" t="n"/>
    </row>
    <row r="1758">
      <c r="A1758" s="41" t="b">
        <v>1</v>
      </c>
      <c r="B1758" s="31" t="inlineStr">
        <is>
          <t>Luncheon Kingdom: From Inside a Bright Stone</t>
        </is>
      </c>
      <c r="C1758" s="35" t="n"/>
      <c r="D1758" s="12" t="inlineStr">
        <is>
          <t>Minimum Jump Height:</t>
        </is>
      </c>
      <c r="E1758" s="34" t="inlineStr">
        <is>
          <t>No Jump Needed</t>
        </is>
      </c>
      <c r="F1758" s="34" t="n"/>
      <c r="G1758" s="34" t="n"/>
      <c r="H1758" s="34" t="n"/>
      <c r="I1758" s="34" t="n"/>
      <c r="J1758" s="16" t="n"/>
    </row>
    <row r="1759">
      <c r="B1759" s="42" t="n"/>
      <c r="D1759" s="12" t="inlineStr">
        <is>
          <t>Cap Throws that work:</t>
        </is>
      </c>
      <c r="E1759" s="34" t="inlineStr">
        <is>
          <t>No Cap Throw Needed</t>
        </is>
      </c>
      <c r="F1759" s="34" t="n"/>
      <c r="G1759" s="34" t="n"/>
      <c r="H1759" s="34" t="n"/>
      <c r="I1759" s="34" t="n"/>
      <c r="J1759" s="16" t="n"/>
    </row>
    <row r="1760">
      <c r="A1760" s="43" t="n"/>
      <c r="B1760" s="44" t="n"/>
      <c r="C1760" s="43" t="n"/>
      <c r="D1760" s="19" t="inlineStr">
        <is>
          <t>Other Required:</t>
        </is>
      </c>
      <c r="E1760" s="35" t="inlineStr">
        <is>
          <t>Ground Pound</t>
        </is>
      </c>
      <c r="F1760" s="35" t="n"/>
      <c r="G1760" s="35" t="n"/>
      <c r="H1760" s="35" t="n"/>
      <c r="I1760" s="35" t="n"/>
      <c r="J1760" s="16" t="n"/>
    </row>
    <row r="1761">
      <c r="A1761" s="41" t="b">
        <v>1</v>
      </c>
      <c r="B1761" s="31" t="inlineStr">
        <is>
          <t>Luncheon Kingdom: Under the Meat Plateau</t>
        </is>
      </c>
      <c r="C1761" s="35" t="inlineStr">
        <is>
          <t>Lava Bubble</t>
        </is>
      </c>
      <c r="D1761" s="12" t="inlineStr">
        <is>
          <t>Minimum Jump Height:</t>
        </is>
      </c>
      <c r="E1761" s="34" t="inlineStr">
        <is>
          <t>Cap Return Jump (400)</t>
        </is>
      </c>
      <c r="F1761" s="34" t="inlineStr">
        <is>
          <t>Single Jump (258)</t>
        </is>
      </c>
      <c r="G1761" s="34" t="n"/>
      <c r="H1761" s="34" t="n"/>
      <c r="I1761" s="34" t="n"/>
      <c r="J1761" s="16" t="n"/>
    </row>
    <row r="1762">
      <c r="B1762" s="42" t="n"/>
      <c r="D1762" s="12" t="inlineStr">
        <is>
          <t>Cap Throws that work:</t>
        </is>
      </c>
      <c r="E1762" s="34" t="inlineStr">
        <is>
          <t>No Cap Throw Needed</t>
        </is>
      </c>
      <c r="F1762" s="34" t="inlineStr">
        <is>
          <t>Neutral Throw, Up Throw, Down Throw, Spin Throw</t>
        </is>
      </c>
      <c r="G1762" s="34" t="n"/>
      <c r="H1762" s="34" t="n"/>
      <c r="I1762" s="34" t="n"/>
      <c r="J1762" s="16" t="n"/>
    </row>
    <row r="1763">
      <c r="A1763" s="43" t="n"/>
      <c r="B1763" s="44" t="n"/>
      <c r="C1763" s="43" t="n"/>
      <c r="D1763" s="19" t="inlineStr">
        <is>
          <t>Other Required:</t>
        </is>
      </c>
      <c r="E1763" s="35" t="inlineStr">
        <is>
          <t>Wall Slide</t>
        </is>
      </c>
      <c r="F1763" s="35" t="inlineStr">
        <is>
          <t>Capture</t>
        </is>
      </c>
      <c r="G1763" s="35" t="n"/>
      <c r="H1763" s="35" t="n"/>
      <c r="I1763" s="35" t="n"/>
      <c r="J1763" s="16" t="n"/>
    </row>
    <row r="1764">
      <c r="A1764" s="41" t="b">
        <v>1</v>
      </c>
      <c r="B1764" s="31" t="inlineStr">
        <is>
          <t>Luncheon Kingdom: On Top of a Tall, Tall Roof</t>
        </is>
      </c>
      <c r="C1764" s="35" t="n"/>
      <c r="D1764" s="12" t="inlineStr">
        <is>
          <t>Minimum Jump Height:</t>
        </is>
      </c>
      <c r="E1764" s="34" t="inlineStr">
        <is>
          <t>Backflip/Vault/Side Flip (496)</t>
        </is>
      </c>
      <c r="F1764" s="34" t="n"/>
      <c r="G1764" s="34" t="n"/>
      <c r="H1764" s="34" t="n"/>
      <c r="I1764" s="34" t="n"/>
      <c r="J1764" s="16" t="n"/>
    </row>
    <row r="1765">
      <c r="B1765" s="42" t="n"/>
      <c r="D1765" s="12" t="inlineStr">
        <is>
          <t>Cap Throws that work:</t>
        </is>
      </c>
      <c r="E1765" s="34" t="inlineStr">
        <is>
          <t>Neutral Throw</t>
        </is>
      </c>
      <c r="F1765" s="34" t="n"/>
      <c r="G1765" s="34" t="n"/>
      <c r="H1765" s="34" t="n"/>
      <c r="I1765" s="34" t="n"/>
      <c r="J1765" s="16" t="n"/>
    </row>
    <row r="1766">
      <c r="A1766" s="43" t="n"/>
      <c r="B1766" s="44" t="n"/>
      <c r="C1766" s="43" t="n"/>
      <c r="D1766" s="19" t="inlineStr">
        <is>
          <t>Other Required:</t>
        </is>
      </c>
      <c r="E1766" s="35" t="inlineStr">
        <is>
          <t>Dive, Wall Slide</t>
        </is>
      </c>
      <c r="F1766" s="35" t="n"/>
      <c r="G1766" s="35" t="n"/>
      <c r="H1766" s="35" t="n"/>
      <c r="I1766" s="35" t="n"/>
      <c r="J1766" s="16" t="n"/>
    </row>
    <row r="1767">
      <c r="A1767" s="41" t="b">
        <v>1</v>
      </c>
      <c r="B1767" s="31" t="inlineStr">
        <is>
          <t>Luncheon Kingdom: From a Crack in the Hard Ground</t>
        </is>
      </c>
      <c r="C1767" s="35" t="inlineStr">
        <is>
          <t>Fire Bro</t>
        </is>
      </c>
      <c r="D1767" s="12" t="inlineStr">
        <is>
          <t>Minimum Jump Height:</t>
        </is>
      </c>
      <c r="E1767" s="34" t="inlineStr">
        <is>
          <t>Single Jump (258)</t>
        </is>
      </c>
      <c r="F1767" s="34" t="inlineStr">
        <is>
          <t>Single Jump (258)</t>
        </is>
      </c>
      <c r="G1767" s="34" t="n"/>
      <c r="H1767" s="34" t="n"/>
      <c r="I1767" s="34" t="n"/>
      <c r="J1767" s="16" t="n"/>
    </row>
    <row r="1768">
      <c r="B1768" s="42" t="n"/>
      <c r="D1768" s="12" t="inlineStr">
        <is>
          <t>Cap Throws that work:</t>
        </is>
      </c>
      <c r="E1768" s="34" t="inlineStr">
        <is>
          <t>No Cap Throw Needed</t>
        </is>
      </c>
      <c r="F1768" s="34" t="inlineStr">
        <is>
          <t>Neutral Throw, Up Throw, Down Throw, Spin Throw</t>
        </is>
      </c>
      <c r="G1768" s="34" t="n"/>
      <c r="H1768" s="34" t="n"/>
      <c r="I1768" s="34" t="n"/>
      <c r="J1768" s="16" t="n"/>
    </row>
    <row r="1769">
      <c r="A1769" s="43" t="n"/>
      <c r="B1769" s="44" t="n"/>
      <c r="C1769" s="43" t="n"/>
      <c r="D1769" s="19" t="inlineStr">
        <is>
          <t>Other Required:</t>
        </is>
      </c>
      <c r="E1769" s="35" t="inlineStr">
        <is>
          <t>Ground Pound</t>
        </is>
      </c>
      <c r="F1769" s="35" t="inlineStr">
        <is>
          <t>Capture, Ground Pound</t>
        </is>
      </c>
      <c r="G1769" s="35" t="n"/>
      <c r="H1769" s="35" t="n"/>
      <c r="I1769" s="35" t="n"/>
      <c r="J1769" s="16" t="n"/>
    </row>
    <row r="1770">
      <c r="A1770" s="41" t="b">
        <v>1</v>
      </c>
      <c r="B1770" s="31" t="inlineStr">
        <is>
          <t>Luncheon Kingdom: By the Cannon Pointed at the Big Pot</t>
        </is>
      </c>
      <c r="C1770" s="35" t="n"/>
      <c r="D1770" s="12" t="inlineStr">
        <is>
          <t>Minimum Jump Height:</t>
        </is>
      </c>
      <c r="E1770" s="34" t="inlineStr">
        <is>
          <t>Single Jump (258)</t>
        </is>
      </c>
      <c r="F1770" s="34" t="n"/>
      <c r="G1770" s="34" t="n"/>
      <c r="H1770" s="34" t="n"/>
      <c r="I1770" s="34" t="n"/>
      <c r="J1770" s="16" t="n"/>
    </row>
    <row r="1771">
      <c r="B1771" s="42" t="n"/>
      <c r="D1771" s="12" t="inlineStr">
        <is>
          <t>Cap Throws that work:</t>
        </is>
      </c>
      <c r="E1771" s="34" t="inlineStr">
        <is>
          <t>No Cap Throw Needed</t>
        </is>
      </c>
      <c r="F1771" s="34" t="n"/>
      <c r="G1771" s="34" t="n"/>
      <c r="H1771" s="34" t="n"/>
      <c r="I1771" s="34" t="n"/>
      <c r="J1771" s="16" t="n"/>
    </row>
    <row r="1772">
      <c r="A1772" s="43" t="n"/>
      <c r="B1772" s="44" t="n"/>
      <c r="C1772" s="43" t="n"/>
      <c r="D1772" s="19" t="inlineStr">
        <is>
          <t>Other Required:</t>
        </is>
      </c>
      <c r="E1772" s="35" t="inlineStr">
        <is>
          <t>Ground Pound</t>
        </is>
      </c>
      <c r="F1772" s="35" t="n"/>
      <c r="G1772" s="35" t="n"/>
      <c r="H1772" s="35" t="n"/>
      <c r="I1772" s="35" t="n"/>
      <c r="J1772" s="16" t="n"/>
    </row>
    <row r="1773">
      <c r="A1773" s="41" t="b">
        <v>1</v>
      </c>
      <c r="B1773" s="31" t="inlineStr">
        <is>
          <t>Luncheon Kingdom: Luncheon Kingdom: Master Cup</t>
        </is>
      </c>
      <c r="C1773" s="35" t="n"/>
      <c r="D1773" s="12" t="inlineStr">
        <is>
          <t>Minimum Jump Height:</t>
        </is>
      </c>
      <c r="E1773" s="34" t="inlineStr">
        <is>
          <t>Backflip/Vault/Side Flip (496)</t>
        </is>
      </c>
      <c r="F1773" s="34" t="n"/>
      <c r="G1773" s="34" t="n"/>
      <c r="H1773" s="34" t="n"/>
      <c r="I1773" s="34" t="n"/>
      <c r="J1773" s="16" t="n"/>
    </row>
    <row r="1774">
      <c r="B1774" s="42" t="n"/>
      <c r="D1774" s="12" t="inlineStr">
        <is>
          <t>Cap Throws that work:</t>
        </is>
      </c>
      <c r="E1774" s="34" t="inlineStr">
        <is>
          <t>Neutral Throw, Up Throw, Down Throw, Spin Throw</t>
        </is>
      </c>
      <c r="F1774" s="34" t="n"/>
      <c r="G1774" s="34" t="n"/>
      <c r="H1774" s="34" t="n"/>
      <c r="I1774" s="34" t="n"/>
      <c r="J1774" s="16" t="n"/>
    </row>
    <row r="1775">
      <c r="A1775" s="43" t="n"/>
      <c r="B1775" s="44" t="n"/>
      <c r="C1775" s="43" t="n"/>
      <c r="D1775" s="19" t="inlineStr">
        <is>
          <t>Other Required:</t>
        </is>
      </c>
      <c r="E1775" s="35" t="inlineStr">
        <is>
          <t>Wall Slide, Capture</t>
        </is>
      </c>
      <c r="F1775" s="35" t="n"/>
      <c r="G1775" s="35" t="n"/>
      <c r="H1775" s="35" t="n"/>
      <c r="I1775" s="35" t="n"/>
      <c r="J1775" s="16" t="n"/>
    </row>
    <row r="1776">
      <c r="A1776" s="41" t="b">
        <v>1</v>
      </c>
      <c r="B1776" s="31" t="inlineStr">
        <is>
          <t>Blazing Above the Gears: Stepping Over the Gears</t>
        </is>
      </c>
      <c r="C1776" s="35" t="n"/>
      <c r="D1776" s="12" t="inlineStr">
        <is>
          <t>Minimum Jump Height:</t>
        </is>
      </c>
      <c r="E1776" s="34" t="inlineStr">
        <is>
          <t>Single Jump (258)</t>
        </is>
      </c>
      <c r="F1776" s="34" t="n"/>
      <c r="G1776" s="34" t="n"/>
      <c r="H1776" s="34" t="n"/>
      <c r="I1776" s="34" t="n"/>
      <c r="J1776" s="16" t="n"/>
    </row>
    <row r="1777">
      <c r="B1777" s="42" t="n"/>
      <c r="D1777" s="12" t="inlineStr">
        <is>
          <t>Cap Throws that work:</t>
        </is>
      </c>
      <c r="E1777" s="34" t="inlineStr">
        <is>
          <t>No Cap Throw Needed</t>
        </is>
      </c>
      <c r="F1777" s="34" t="n"/>
      <c r="G1777" s="34" t="n"/>
      <c r="H1777" s="34" t="n"/>
      <c r="I1777" s="34" t="n"/>
      <c r="J1777" s="16" t="n"/>
    </row>
    <row r="1778">
      <c r="A1778" s="43" t="n"/>
      <c r="B1778" s="44" t="n"/>
      <c r="C1778" s="43" t="n"/>
      <c r="D1778" s="19" t="inlineStr">
        <is>
          <t>Other Required:</t>
        </is>
      </c>
      <c r="E1778" s="35" t="inlineStr">
        <is>
          <t>None</t>
        </is>
      </c>
      <c r="F1778" s="35" t="n"/>
      <c r="G1778" s="35" t="n"/>
      <c r="H1778" s="35" t="n"/>
      <c r="I1778" s="35" t="n"/>
      <c r="J1778" s="16" t="n"/>
    </row>
    <row r="1779">
      <c r="A1779" s="41" t="b">
        <v>1</v>
      </c>
      <c r="B1779" s="31" t="inlineStr">
        <is>
          <t>Blazing Above the Gears: Lanterns on the Gear Steps</t>
        </is>
      </c>
      <c r="C1779" s="35" t="inlineStr">
        <is>
          <t>Fire Bro</t>
        </is>
      </c>
      <c r="D1779" s="12" t="inlineStr">
        <is>
          <t>Minimum Jump Height:</t>
        </is>
      </c>
      <c r="E1779" s="34" t="inlineStr">
        <is>
          <t>Single Jump (258)</t>
        </is>
      </c>
      <c r="F1779" s="34" t="n"/>
      <c r="G1779" s="34" t="n"/>
      <c r="H1779" s="34" t="n"/>
      <c r="I1779" s="34" t="n"/>
      <c r="J1779" s="16" t="n"/>
    </row>
    <row r="1780">
      <c r="B1780" s="42" t="n"/>
      <c r="D1780" s="12" t="inlineStr">
        <is>
          <t>Cap Throws that work:</t>
        </is>
      </c>
      <c r="E1780" s="34" t="inlineStr">
        <is>
          <t>Neutral Throw, Up Throw, Down Throw, Spin Throw</t>
        </is>
      </c>
      <c r="F1780" s="34" t="n"/>
      <c r="G1780" s="34" t="n"/>
      <c r="H1780" s="34" t="n"/>
      <c r="I1780" s="34" t="n"/>
      <c r="J1780" s="16" t="n"/>
    </row>
    <row r="1781">
      <c r="A1781" s="43" t="n"/>
      <c r="B1781" s="44" t="n"/>
      <c r="C1781" s="43" t="n"/>
      <c r="D1781" s="19" t="inlineStr">
        <is>
          <t>Other Required:</t>
        </is>
      </c>
      <c r="E1781" s="35" t="inlineStr">
        <is>
          <t>Capture</t>
        </is>
      </c>
      <c r="F1781" s="35" t="n"/>
      <c r="G1781" s="35" t="n"/>
      <c r="H1781" s="35" t="n"/>
      <c r="I1781" s="35" t="n"/>
      <c r="J1781" s="16" t="n"/>
    </row>
    <row r="1782">
      <c r="A1782" s="41" t="b">
        <v>1</v>
      </c>
      <c r="B1782" s="31" t="inlineStr">
        <is>
          <t>Volcano Cave Cruising: Volcano Cave Cruisin'</t>
        </is>
      </c>
      <c r="C1782" s="35" t="n"/>
      <c r="D1782" s="12" t="inlineStr">
        <is>
          <t>Minimum Jump Height:</t>
        </is>
      </c>
      <c r="E1782" s="34" t="inlineStr">
        <is>
          <t>Single Jump (258)</t>
        </is>
      </c>
      <c r="F1782" s="34" t="n"/>
      <c r="G1782" s="34" t="n"/>
      <c r="H1782" s="34" t="n"/>
      <c r="I1782" s="34" t="n"/>
      <c r="J1782" s="16" t="n"/>
    </row>
    <row r="1783">
      <c r="B1783" s="42" t="n"/>
      <c r="D1783" s="12" t="inlineStr">
        <is>
          <t>Cap Throws that work:</t>
        </is>
      </c>
      <c r="E1783" s="34" t="inlineStr">
        <is>
          <t>Neutral Throw, Up Throw, Down Throw, Spin Throw</t>
        </is>
      </c>
      <c r="F1783" s="34" t="n"/>
      <c r="G1783" s="34" t="n"/>
      <c r="H1783" s="34" t="n"/>
      <c r="I1783" s="34" t="n"/>
      <c r="J1783" s="16" t="n"/>
    </row>
    <row r="1784">
      <c r="A1784" s="43" t="n"/>
      <c r="B1784" s="44" t="n"/>
      <c r="C1784" s="43" t="n"/>
      <c r="D1784" s="19" t="inlineStr">
        <is>
          <t>Other Required:</t>
        </is>
      </c>
      <c r="E1784" s="35" t="inlineStr">
        <is>
          <t>None</t>
        </is>
      </c>
      <c r="F1784" s="35" t="n"/>
      <c r="G1784" s="35" t="n"/>
      <c r="H1784" s="35" t="n"/>
      <c r="I1784" s="35" t="n"/>
      <c r="J1784" s="16" t="n"/>
    </row>
    <row r="1785">
      <c r="A1785" s="41" t="b">
        <v>1</v>
      </c>
      <c r="B1785" s="31" t="inlineStr">
        <is>
          <t>Volcano Cave Cruising: Volcano Cave and Mysterious Clouds</t>
        </is>
      </c>
      <c r="C1785" s="35" t="n"/>
      <c r="D1785" s="12" t="inlineStr">
        <is>
          <t>Minimum Jump Height:</t>
        </is>
      </c>
      <c r="E1785" s="34" t="inlineStr">
        <is>
          <t>Cap Return Jump (400)</t>
        </is>
      </c>
      <c r="F1785" s="34" t="n"/>
      <c r="G1785" s="34" t="n"/>
      <c r="H1785" s="34" t="n"/>
      <c r="I1785" s="34" t="n"/>
      <c r="J1785" s="16" t="n"/>
    </row>
    <row r="1786">
      <c r="B1786" s="42" t="n"/>
      <c r="D1786" s="12" t="inlineStr">
        <is>
          <t>Cap Throws that work:</t>
        </is>
      </c>
      <c r="E1786" s="34" t="inlineStr">
        <is>
          <t>Neutral Throw, Up Throw, Down Throw, Spin Throw</t>
        </is>
      </c>
      <c r="F1786" s="34" t="n"/>
      <c r="G1786" s="34" t="n"/>
      <c r="H1786" s="34" t="n"/>
      <c r="I1786" s="34" t="n"/>
      <c r="J1786" s="16" t="n"/>
    </row>
    <row r="1787">
      <c r="A1787" s="43" t="n"/>
      <c r="B1787" s="44" t="n"/>
      <c r="C1787" s="43" t="n"/>
      <c r="D1787" s="19" t="inlineStr">
        <is>
          <t>Other Required:</t>
        </is>
      </c>
      <c r="E1787" s="35" t="inlineStr">
        <is>
          <t>None</t>
        </is>
      </c>
      <c r="F1787" s="35" t="n"/>
      <c r="G1787" s="35" t="n"/>
      <c r="H1787" s="35" t="n"/>
      <c r="I1787" s="35" t="n"/>
      <c r="J1787" s="16" t="n"/>
    </row>
    <row r="1788">
      <c r="A1788" s="41" t="b">
        <v>1</v>
      </c>
      <c r="B1788" s="31" t="inlineStr">
        <is>
          <t>Lava Island Fly-By: Treasure of the Lava Islands</t>
        </is>
      </c>
      <c r="C1788" s="35" t="inlineStr">
        <is>
          <t>Lava Bubble</t>
        </is>
      </c>
      <c r="D1788" s="12" t="inlineStr">
        <is>
          <t>Minimum Jump Height:</t>
        </is>
      </c>
      <c r="E1788" s="34" t="inlineStr">
        <is>
          <t>Single Jump (258)</t>
        </is>
      </c>
      <c r="F1788" s="34" t="n"/>
      <c r="G1788" s="34" t="n"/>
      <c r="H1788" s="34" t="n"/>
      <c r="I1788" s="34" t="n"/>
      <c r="J1788" s="16" t="n"/>
    </row>
    <row r="1789">
      <c r="B1789" s="42" t="n"/>
      <c r="D1789" s="12" t="inlineStr">
        <is>
          <t>Cap Throws that work:</t>
        </is>
      </c>
      <c r="E1789" s="34" t="inlineStr">
        <is>
          <t>Neutral Throw, Up Throw, Down Throw, Spin Throw</t>
        </is>
      </c>
      <c r="F1789" s="34" t="n"/>
      <c r="G1789" s="34" t="n"/>
      <c r="H1789" s="34" t="n"/>
      <c r="I1789" s="34" t="n"/>
      <c r="J1789" s="16" t="n"/>
    </row>
    <row r="1790">
      <c r="A1790" s="43" t="n"/>
      <c r="B1790" s="44" t="n"/>
      <c r="C1790" s="43" t="n"/>
      <c r="D1790" s="19" t="inlineStr">
        <is>
          <t>Other Required:</t>
        </is>
      </c>
      <c r="E1790" s="35" t="inlineStr">
        <is>
          <t>Capture</t>
        </is>
      </c>
      <c r="F1790" s="35" t="n"/>
      <c r="G1790" s="35" t="n"/>
      <c r="H1790" s="35" t="n"/>
      <c r="I1790" s="35" t="n"/>
      <c r="J1790" s="16" t="n"/>
    </row>
    <row r="1791">
      <c r="A1791" s="41" t="b">
        <v>1</v>
      </c>
      <c r="B1791" s="31" t="inlineStr">
        <is>
          <t>Lava Island Fly-By: Flying Over the Lava Islands</t>
        </is>
      </c>
      <c r="C1791" s="35" t="inlineStr">
        <is>
          <t>Lava Bubble</t>
        </is>
      </c>
      <c r="D1791" s="12" t="inlineStr">
        <is>
          <t>Minimum Jump Height:</t>
        </is>
      </c>
      <c r="E1791" s="34" t="inlineStr">
        <is>
          <t>Single Jump (258)</t>
        </is>
      </c>
      <c r="F1791" s="34" t="n"/>
      <c r="G1791" s="34" t="n"/>
      <c r="H1791" s="34" t="n"/>
      <c r="I1791" s="34" t="n"/>
      <c r="J1791" s="16" t="n"/>
    </row>
    <row r="1792">
      <c r="B1792" s="42" t="n"/>
      <c r="D1792" s="12" t="inlineStr">
        <is>
          <t>Cap Throws that work:</t>
        </is>
      </c>
      <c r="E1792" s="34" t="inlineStr">
        <is>
          <t>Neutral Throw, Up Throw, Down Throw, Spin Throw</t>
        </is>
      </c>
      <c r="F1792" s="34" t="n"/>
      <c r="G1792" s="34" t="n"/>
      <c r="H1792" s="34" t="n"/>
      <c r="I1792" s="34" t="n"/>
      <c r="J1792" s="16" t="n"/>
    </row>
    <row r="1793">
      <c r="A1793" s="43" t="n"/>
      <c r="B1793" s="44" t="n"/>
      <c r="C1793" s="43" t="n"/>
      <c r="D1793" s="19" t="inlineStr">
        <is>
          <t>Other Required:</t>
        </is>
      </c>
      <c r="E1793" s="35" t="inlineStr">
        <is>
          <t>Capture</t>
        </is>
      </c>
      <c r="F1793" s="35" t="n"/>
      <c r="G1793" s="35" t="n"/>
      <c r="H1793" s="35" t="n"/>
      <c r="I1793" s="35" t="n"/>
      <c r="J1793" s="16" t="n"/>
    </row>
    <row r="1794">
      <c r="A1794" s="41" t="b">
        <v>1</v>
      </c>
      <c r="B1794" s="31" t="inlineStr">
        <is>
          <t>Ruined Kingdom: Battle with the Lord of Lightning!</t>
        </is>
      </c>
      <c r="C1794" s="35" t="inlineStr">
        <is>
          <t>Spark pylon</t>
        </is>
      </c>
      <c r="D1794" s="12" t="inlineStr">
        <is>
          <t>Minimum Jump Height:</t>
        </is>
      </c>
      <c r="E1794" s="34" t="inlineStr">
        <is>
          <t>Single Jump (258)</t>
        </is>
      </c>
      <c r="F1794" s="34" t="n"/>
      <c r="G1794" s="34" t="n"/>
      <c r="H1794" s="34" t="n"/>
      <c r="I1794" s="34" t="n"/>
      <c r="J1794" s="16" t="n"/>
    </row>
    <row r="1795">
      <c r="B1795" s="42" t="n"/>
      <c r="D1795" s="12" t="inlineStr">
        <is>
          <t>Cap Throws that work:</t>
        </is>
      </c>
      <c r="E1795" s="34" t="inlineStr">
        <is>
          <t>Neutral Throw, Up Throw, Down Throw, Spin Throw</t>
        </is>
      </c>
      <c r="F1795" s="34" t="n"/>
      <c r="G1795" s="34" t="n"/>
      <c r="H1795" s="34" t="n"/>
      <c r="I1795" s="34" t="n"/>
      <c r="J1795" s="16" t="n"/>
    </row>
    <row r="1796">
      <c r="A1796" s="43" t="n"/>
      <c r="B1796" s="44" t="n"/>
      <c r="C1796" s="43" t="n"/>
      <c r="D1796" s="19" t="inlineStr">
        <is>
          <t>Other Required:</t>
        </is>
      </c>
      <c r="E1796" s="35" t="inlineStr">
        <is>
          <t>Ground Pound, Capture</t>
        </is>
      </c>
      <c r="F1796" s="35" t="n"/>
      <c r="G1796" s="35" t="n"/>
      <c r="H1796" s="35" t="n"/>
      <c r="I1796" s="35" t="n"/>
      <c r="J1796" s="16" t="n"/>
    </row>
    <row r="1797">
      <c r="A1797" s="41" t="b">
        <v>1</v>
      </c>
      <c r="B1797" s="31" t="inlineStr">
        <is>
          <t>Ruined Kingdom: In the Ancient Treasure Chest</t>
        </is>
      </c>
      <c r="C1797" s="35" t="n"/>
      <c r="D1797" s="12" t="inlineStr">
        <is>
          <t>Minimum Jump Height:</t>
        </is>
      </c>
      <c r="E1797" s="34" t="inlineStr">
        <is>
          <t>Single Jump (258)</t>
        </is>
      </c>
      <c r="F1797" s="34" t="n"/>
      <c r="G1797" s="34" t="n"/>
      <c r="H1797" s="34" t="n"/>
      <c r="I1797" s="34" t="n"/>
      <c r="J1797" s="16" t="n"/>
    </row>
    <row r="1798">
      <c r="B1798" s="42" t="n"/>
      <c r="D1798" s="12" t="inlineStr">
        <is>
          <t>Cap Throws that work:</t>
        </is>
      </c>
      <c r="E1798" s="34" t="inlineStr">
        <is>
          <t>Neutral Throw, Up Throw, Down Throw, Spin Throw</t>
        </is>
      </c>
      <c r="F1798" s="34" t="n"/>
      <c r="G1798" s="34" t="n"/>
      <c r="H1798" s="34" t="n"/>
      <c r="I1798" s="34" t="n"/>
      <c r="J1798" s="16" t="n"/>
    </row>
    <row r="1799">
      <c r="A1799" s="43" t="n"/>
      <c r="B1799" s="44" t="n"/>
      <c r="C1799" s="43" t="n"/>
      <c r="D1799" s="19" t="inlineStr">
        <is>
          <t>Other Required:</t>
        </is>
      </c>
      <c r="E1799" s="35" t="inlineStr">
        <is>
          <t>None</t>
        </is>
      </c>
      <c r="F1799" s="35" t="n"/>
      <c r="G1799" s="35" t="n"/>
      <c r="H1799" s="35" t="n"/>
      <c r="I1799" s="35" t="n"/>
      <c r="J1799" s="16" t="n"/>
    </row>
    <row r="1800">
      <c r="A1800" s="41" t="b">
        <v>1</v>
      </c>
      <c r="B1800" s="31" t="inlineStr">
        <is>
          <t>Roulette Tower: Roulette Tower: Climbed</t>
        </is>
      </c>
      <c r="C1800" s="35" t="n"/>
      <c r="D1800" s="12" t="inlineStr">
        <is>
          <t>Minimum Jump Height:</t>
        </is>
      </c>
      <c r="E1800" s="34" t="inlineStr">
        <is>
          <t>Single Jump (258)</t>
        </is>
      </c>
      <c r="F1800" s="34" t="n"/>
      <c r="G1800" s="34" t="n"/>
      <c r="H1800" s="34" t="n"/>
      <c r="I1800" s="34" t="n"/>
      <c r="J1800" s="16" t="n"/>
    </row>
    <row r="1801">
      <c r="B1801" s="42" t="n"/>
      <c r="D1801" s="12" t="inlineStr">
        <is>
          <t>Cap Throws that work:</t>
        </is>
      </c>
      <c r="E1801" s="34" t="inlineStr">
        <is>
          <t>Neutral Throw, Up Throw, Down Throw, Spin Throw</t>
        </is>
      </c>
      <c r="F1801" s="34" t="n"/>
      <c r="G1801" s="34" t="n"/>
      <c r="H1801" s="34" t="n"/>
      <c r="I1801" s="34" t="n"/>
      <c r="J1801" s="16" t="n"/>
    </row>
    <row r="1802">
      <c r="A1802" s="43" t="n"/>
      <c r="B1802" s="44" t="n"/>
      <c r="C1802" s="43" t="n"/>
      <c r="D1802" s="19" t="inlineStr">
        <is>
          <t>Other Required:</t>
        </is>
      </c>
      <c r="E1802" s="35" t="inlineStr">
        <is>
          <t>Ground Pound</t>
        </is>
      </c>
      <c r="F1802" s="35" t="n"/>
      <c r="G1802" s="35" t="n"/>
      <c r="H1802" s="35" t="n"/>
      <c r="I1802" s="35" t="n"/>
      <c r="J1802" s="16" t="n"/>
    </row>
    <row r="1803">
      <c r="A1803" s="41" t="b">
        <v>1</v>
      </c>
      <c r="B1803" s="31" t="inlineStr">
        <is>
          <t>Roulette Tower: Roulette Tower: Stopped</t>
        </is>
      </c>
      <c r="C1803" s="35" t="n"/>
      <c r="D1803" s="12" t="inlineStr">
        <is>
          <t>Minimum Jump Height:</t>
        </is>
      </c>
      <c r="E1803" s="34" t="inlineStr">
        <is>
          <t>Single Jump (258)</t>
        </is>
      </c>
      <c r="F1803" s="34" t="n"/>
      <c r="G1803" s="34" t="n"/>
      <c r="H1803" s="34" t="n"/>
      <c r="I1803" s="34" t="n"/>
      <c r="J1803" s="16" t="n"/>
    </row>
    <row r="1804">
      <c r="B1804" s="42" t="n"/>
      <c r="D1804" s="12" t="inlineStr">
        <is>
          <t>Cap Throws that work:</t>
        </is>
      </c>
      <c r="E1804" s="34" t="inlineStr">
        <is>
          <t>Neutral Throw, Up Throw, Down Throw, Spin Throw</t>
        </is>
      </c>
      <c r="F1804" s="34" t="n"/>
      <c r="G1804" s="34" t="n"/>
      <c r="H1804" s="34" t="n"/>
      <c r="I1804" s="34" t="n"/>
      <c r="J1804" s="16" t="n"/>
    </row>
    <row r="1805">
      <c r="A1805" s="43" t="n"/>
      <c r="B1805" s="44" t="n"/>
      <c r="C1805" s="43" t="n"/>
      <c r="D1805" s="19" t="inlineStr">
        <is>
          <t>Other Required:</t>
        </is>
      </c>
      <c r="E1805" s="35" t="inlineStr">
        <is>
          <t>Ground Pound</t>
        </is>
      </c>
      <c r="F1805" s="35" t="n"/>
      <c r="G1805" s="35" t="n"/>
      <c r="H1805" s="35" t="n"/>
      <c r="I1805" s="35" t="n"/>
      <c r="J1805" s="16" t="n"/>
    </row>
    <row r="1806">
      <c r="A1806" s="41" t="b">
        <v>1</v>
      </c>
      <c r="B1806" s="31" t="inlineStr">
        <is>
          <t>Ruined Kingdom: Peach in the Ruined Kingdom</t>
        </is>
      </c>
      <c r="C1806" s="35" t="inlineStr">
        <is>
          <t>Spark pylon</t>
        </is>
      </c>
      <c r="D1806" s="12" t="inlineStr">
        <is>
          <t>Minimum Jump Height:</t>
        </is>
      </c>
      <c r="E1806" s="34" t="inlineStr">
        <is>
          <t>Single Jump (258)</t>
        </is>
      </c>
      <c r="F1806" s="34" t="n"/>
      <c r="G1806" s="34" t="n"/>
      <c r="H1806" s="34" t="n"/>
      <c r="I1806" s="34" t="n"/>
      <c r="J1806" s="16" t="n"/>
    </row>
    <row r="1807">
      <c r="B1807" s="42" t="n"/>
      <c r="D1807" s="12" t="inlineStr">
        <is>
          <t>Cap Throws that work:</t>
        </is>
      </c>
      <c r="E1807" s="34" t="inlineStr">
        <is>
          <t>Neutral Throw, Up Throw, Down Throw, Spin Throw</t>
        </is>
      </c>
      <c r="F1807" s="34" t="n"/>
      <c r="G1807" s="34" t="n"/>
      <c r="H1807" s="34" t="n"/>
      <c r="I1807" s="34" t="n"/>
      <c r="J1807" s="16" t="n"/>
    </row>
    <row r="1808">
      <c r="A1808" s="43" t="n"/>
      <c r="B1808" s="44" t="n"/>
      <c r="C1808" s="43" t="n"/>
      <c r="D1808" s="19" t="inlineStr">
        <is>
          <t>Other Required:</t>
        </is>
      </c>
      <c r="E1808" s="35" t="inlineStr">
        <is>
          <t>Capture</t>
        </is>
      </c>
      <c r="F1808" s="35" t="n"/>
      <c r="G1808" s="35" t="n"/>
      <c r="H1808" s="35" t="n"/>
      <c r="I1808" s="35" t="n"/>
      <c r="J1808" s="16" t="n"/>
    </row>
    <row r="1809">
      <c r="A1809" s="41" t="b">
        <v>1</v>
      </c>
      <c r="B1809" s="31" t="inlineStr">
        <is>
          <t>Ruined Kingdom: Caught on a Big Horn</t>
        </is>
      </c>
      <c r="C1809" s="35" t="inlineStr">
        <is>
          <t>Spark pylon</t>
        </is>
      </c>
      <c r="D1809" s="12" t="inlineStr">
        <is>
          <t>Minimum Jump Height:</t>
        </is>
      </c>
      <c r="E1809" s="34" t="inlineStr">
        <is>
          <t>Single Jump (258)</t>
        </is>
      </c>
      <c r="F1809" s="34" t="n"/>
      <c r="G1809" s="34" t="n"/>
      <c r="H1809" s="34" t="n"/>
      <c r="I1809" s="34" t="n"/>
      <c r="J1809" s="16" t="n"/>
    </row>
    <row r="1810">
      <c r="B1810" s="42" t="n"/>
      <c r="D1810" s="12" t="inlineStr">
        <is>
          <t>Cap Throws that work:</t>
        </is>
      </c>
      <c r="E1810" s="34" t="inlineStr">
        <is>
          <t>Neutral Throw, Up Throw, Down Throw, Spin Throw</t>
        </is>
      </c>
      <c r="F1810" s="34" t="n"/>
      <c r="G1810" s="34" t="n"/>
      <c r="H1810" s="34" t="n"/>
      <c r="I1810" s="34" t="n"/>
      <c r="J1810" s="16" t="n"/>
    </row>
    <row r="1811">
      <c r="A1811" s="43" t="n"/>
      <c r="B1811" s="44" t="n"/>
      <c r="C1811" s="43" t="n"/>
      <c r="D1811" s="19" t="inlineStr">
        <is>
          <t>Other Required:</t>
        </is>
      </c>
      <c r="E1811" s="35" t="inlineStr">
        <is>
          <t>Capture</t>
        </is>
      </c>
      <c r="F1811" s="35" t="n"/>
      <c r="G1811" s="35" t="n"/>
      <c r="H1811" s="35" t="n"/>
      <c r="I1811" s="35" t="n"/>
      <c r="J1811" s="16" t="n"/>
    </row>
    <row r="1812">
      <c r="A1812" s="41" t="b">
        <v>1</v>
      </c>
      <c r="B1812" s="31" t="inlineStr">
        <is>
          <t>Ruined Kingdom: Upon the Broken Arch</t>
        </is>
      </c>
      <c r="C1812" s="35" t="n"/>
      <c r="D1812" s="12" t="inlineStr">
        <is>
          <t>Minimum Jump Height:</t>
        </is>
      </c>
      <c r="E1812" s="34" t="inlineStr">
        <is>
          <t>Backflip/Vault/Side Flip (496)</t>
        </is>
      </c>
      <c r="F1812" s="34" t="n"/>
      <c r="G1812" s="34" t="n"/>
      <c r="H1812" s="34" t="n"/>
      <c r="I1812" s="34" t="n"/>
      <c r="J1812" s="16" t="n"/>
    </row>
    <row r="1813">
      <c r="B1813" s="42" t="n"/>
      <c r="D1813" s="12" t="inlineStr">
        <is>
          <t>Cap Throws that work:</t>
        </is>
      </c>
      <c r="E1813" s="34" t="inlineStr">
        <is>
          <t>No Cap Throw Needed</t>
        </is>
      </c>
      <c r="F1813" s="34" t="n"/>
      <c r="G1813" s="34" t="n"/>
      <c r="H1813" s="34" t="n"/>
      <c r="I1813" s="34" t="n"/>
      <c r="J1813" s="16" t="n"/>
    </row>
    <row r="1814">
      <c r="A1814" s="43" t="n"/>
      <c r="B1814" s="44" t="n"/>
      <c r="C1814" s="43" t="n"/>
      <c r="D1814" s="19" t="inlineStr">
        <is>
          <t>Other Required:</t>
        </is>
      </c>
      <c r="E1814" s="35" t="inlineStr">
        <is>
          <t>Ground Pound</t>
        </is>
      </c>
      <c r="F1814" s="35" t="n"/>
      <c r="G1814" s="35" t="n"/>
      <c r="H1814" s="35" t="n"/>
      <c r="I1814" s="35" t="n"/>
      <c r="J1814" s="16" t="n"/>
    </row>
    <row r="1815">
      <c r="A1815" s="41" t="b">
        <v>1</v>
      </c>
      <c r="B1815" s="31" t="inlineStr">
        <is>
          <t>Ruined Kingdom: Rolling Rock on the Battlefield</t>
        </is>
      </c>
      <c r="C1815" s="35" t="inlineStr">
        <is>
          <t>Spark pylon</t>
        </is>
      </c>
      <c r="D1815" s="12" t="inlineStr">
        <is>
          <t>Minimum Jump Height:</t>
        </is>
      </c>
      <c r="E1815" s="34" t="inlineStr">
        <is>
          <t>Long Jump</t>
        </is>
      </c>
      <c r="F1815" s="34" t="n"/>
      <c r="G1815" s="34" t="n"/>
      <c r="H1815" s="34" t="n"/>
      <c r="I1815" s="34" t="n"/>
      <c r="J1815" s="16" t="n"/>
    </row>
    <row r="1816">
      <c r="B1816" s="42" t="n"/>
      <c r="D1816" s="12" t="inlineStr">
        <is>
          <t>Cap Throws that work:</t>
        </is>
      </c>
      <c r="E1816" s="34" t="inlineStr">
        <is>
          <t>Neutral Throw, Up Throw, Down Throw, Spin Throw</t>
        </is>
      </c>
      <c r="F1816" s="34" t="n"/>
      <c r="G1816" s="34" t="n"/>
      <c r="H1816" s="34" t="n"/>
      <c r="I1816" s="34" t="n"/>
      <c r="J1816" s="16" t="n"/>
    </row>
    <row r="1817">
      <c r="A1817" s="43" t="n"/>
      <c r="B1817" s="44" t="n"/>
      <c r="C1817" s="43" t="n"/>
      <c r="D1817" s="19" t="inlineStr">
        <is>
          <t>Other Required:</t>
        </is>
      </c>
      <c r="E1817" s="35" t="inlineStr">
        <is>
          <t>Capture</t>
        </is>
      </c>
      <c r="F1817" s="35" t="n"/>
      <c r="G1817" s="35" t="n"/>
      <c r="H1817" s="35" t="n"/>
      <c r="I1817" s="35" t="n"/>
      <c r="J1817" s="16" t="n"/>
    </row>
    <row r="1818">
      <c r="A1818" s="41" t="b">
        <v>1</v>
      </c>
      <c r="B1818" s="31" t="inlineStr">
        <is>
          <t>Mummy Army: Charging Through an Army</t>
        </is>
      </c>
      <c r="C1818" s="35" t="n"/>
      <c r="D1818" s="12" t="inlineStr">
        <is>
          <t>Minimum Jump Height:</t>
        </is>
      </c>
      <c r="E1818" s="34" t="inlineStr">
        <is>
          <t>Single Jump (258)</t>
        </is>
      </c>
      <c r="F1818" s="34" t="n"/>
      <c r="G1818" s="34" t="n"/>
      <c r="H1818" s="34" t="n"/>
      <c r="I1818" s="34" t="n"/>
      <c r="J1818" s="16" t="n"/>
    </row>
    <row r="1819">
      <c r="B1819" s="42" t="n"/>
      <c r="D1819" s="12" t="inlineStr">
        <is>
          <t>Cap Throws that work:</t>
        </is>
      </c>
      <c r="E1819" s="34" t="inlineStr">
        <is>
          <t>Neutral Throw, Up Throw, Down Throw, Spin Throw</t>
        </is>
      </c>
      <c r="F1819" s="34" t="n"/>
      <c r="G1819" s="34" t="n"/>
      <c r="H1819" s="34" t="n"/>
      <c r="I1819" s="34" t="n"/>
      <c r="J1819" s="16" t="n"/>
    </row>
    <row r="1820">
      <c r="A1820" s="43" t="n"/>
      <c r="B1820" s="44" t="n"/>
      <c r="C1820" s="43" t="n"/>
      <c r="D1820" s="19" t="inlineStr">
        <is>
          <t>Other Required:</t>
        </is>
      </c>
      <c r="E1820" s="35" t="inlineStr">
        <is>
          <t>None</t>
        </is>
      </c>
      <c r="F1820" s="35" t="n"/>
      <c r="G1820" s="35" t="n"/>
      <c r="H1820" s="35" t="n"/>
      <c r="I1820" s="35" t="n"/>
      <c r="J1820" s="16" t="n"/>
    </row>
    <row r="1821">
      <c r="A1821" s="41" t="b">
        <v>1</v>
      </c>
      <c r="B1821" s="31" t="inlineStr">
        <is>
          <t>Mummy Army: The Mummy Army's Curse</t>
        </is>
      </c>
      <c r="C1821" s="35" t="n"/>
      <c r="D1821" s="12" t="inlineStr">
        <is>
          <t>Minimum Jump Height:</t>
        </is>
      </c>
      <c r="E1821" s="34" t="inlineStr">
        <is>
          <t>Backflip/Vault/Side Flip (496)</t>
        </is>
      </c>
      <c r="F1821" s="34" t="inlineStr">
        <is>
          <t>Single Jump (258)</t>
        </is>
      </c>
      <c r="G1821" s="34" t="n"/>
      <c r="H1821" s="34" t="n"/>
      <c r="I1821" s="34" t="n"/>
      <c r="J1821" s="16" t="n"/>
    </row>
    <row r="1822">
      <c r="B1822" s="42" t="n"/>
      <c r="D1822" s="12" t="inlineStr">
        <is>
          <t>Cap Throws that work:</t>
        </is>
      </c>
      <c r="E1822" s="34" t="inlineStr">
        <is>
          <t>Neutral Throw, Up Throw, Down Throw, Spin Throw</t>
        </is>
      </c>
      <c r="F1822" s="34" t="inlineStr">
        <is>
          <t>Neutral Throw, Up Throw, Down Throw, Spin Throw</t>
        </is>
      </c>
      <c r="G1822" s="34" t="n"/>
      <c r="H1822" s="34" t="n"/>
      <c r="I1822" s="34" t="n"/>
      <c r="J1822" s="16" t="n"/>
    </row>
    <row r="1823">
      <c r="A1823" s="43" t="n"/>
      <c r="B1823" s="44" t="n"/>
      <c r="C1823" s="43" t="n"/>
      <c r="D1823" s="19" t="inlineStr">
        <is>
          <t>Other Required:</t>
        </is>
      </c>
      <c r="E1823" s="35" t="n"/>
      <c r="F1823" s="35" t="inlineStr">
        <is>
          <t>Climb</t>
        </is>
      </c>
      <c r="G1823" s="35" t="n"/>
      <c r="H1823" s="35" t="n"/>
      <c r="I1823" s="35" t="n"/>
      <c r="J1823" s="16" t="n"/>
    </row>
    <row r="1824">
      <c r="A1824" s="41" t="b">
        <v>1</v>
      </c>
      <c r="B1824" s="31" t="inlineStr">
        <is>
          <t>Bowser's Kingdom: Infiltrate Bowser's Castle!</t>
        </is>
      </c>
      <c r="C1824" s="35" t="inlineStr">
        <is>
          <t>Pokio</t>
        </is>
      </c>
      <c r="D1824" s="12" t="inlineStr">
        <is>
          <t>Minimum Jump Height:</t>
        </is>
      </c>
      <c r="E1824" s="34" t="inlineStr">
        <is>
          <t>Single Jump (258)</t>
        </is>
      </c>
      <c r="F1824" s="34" t="inlineStr">
        <is>
          <t>Single Jump (258)</t>
        </is>
      </c>
      <c r="G1824" s="34" t="inlineStr">
        <is>
          <t>Cap Return Jump (400)</t>
        </is>
      </c>
      <c r="H1824" s="34" t="n"/>
      <c r="I1824" s="34" t="n"/>
      <c r="J1824" s="16" t="n"/>
    </row>
    <row r="1825">
      <c r="B1825" s="42" t="n"/>
      <c r="D1825" s="12" t="inlineStr">
        <is>
          <t>Cap Throws that work:</t>
        </is>
      </c>
      <c r="E1825" s="34" t="inlineStr">
        <is>
          <t>Neutral Throw, Up Throw, Down Throw, Spin Throw</t>
        </is>
      </c>
      <c r="F1825" s="34" t="inlineStr">
        <is>
          <t>Neutral Throw</t>
        </is>
      </c>
      <c r="G1825" s="34" t="inlineStr">
        <is>
          <t>Neutral Throw, Up Throw, Down Throw, Spin Throw</t>
        </is>
      </c>
      <c r="H1825" s="34" t="n"/>
      <c r="I1825" s="34" t="n"/>
      <c r="J1825" s="16" t="n"/>
    </row>
    <row r="1826">
      <c r="A1826" s="43" t="n"/>
      <c r="B1826" s="44" t="n"/>
      <c r="C1826" s="43" t="n"/>
      <c r="D1826" s="19" t="inlineStr">
        <is>
          <t>Other Required:</t>
        </is>
      </c>
      <c r="E1826" s="35" t="inlineStr">
        <is>
          <t>Capture, Ground Pound</t>
        </is>
      </c>
      <c r="F1826" s="35" t="inlineStr">
        <is>
          <t>Ground Pound</t>
        </is>
      </c>
      <c r="G1826" s="35" t="inlineStr">
        <is>
          <t>Ground Pound, Dive</t>
        </is>
      </c>
      <c r="H1826" s="35" t="n"/>
      <c r="I1826" s="35" t="n"/>
      <c r="J1826" s="16" t="n"/>
    </row>
    <row r="1827">
      <c r="A1827" s="41" t="b">
        <v>1</v>
      </c>
      <c r="B1827" s="31" t="inlineStr">
        <is>
          <t>Bowser's Kingdom: Smart Bombing</t>
        </is>
      </c>
      <c r="C1827" s="35" t="inlineStr">
        <is>
          <t>Pokio</t>
        </is>
      </c>
      <c r="D1827" s="12" t="inlineStr">
        <is>
          <t>Minimum Jump Height:</t>
        </is>
      </c>
      <c r="E1827" s="34" t="inlineStr">
        <is>
          <t>Single Jump (258)</t>
        </is>
      </c>
      <c r="F1827" s="34" t="inlineStr">
        <is>
          <t>Single Jump (258)</t>
        </is>
      </c>
      <c r="G1827" s="34" t="inlineStr">
        <is>
          <t>Cap Return Jump (400)</t>
        </is>
      </c>
      <c r="H1827" s="34" t="n"/>
      <c r="I1827" s="34" t="n"/>
      <c r="J1827" s="16" t="n"/>
    </row>
    <row r="1828">
      <c r="B1828" s="42" t="n"/>
      <c r="D1828" s="12" t="inlineStr">
        <is>
          <t>Cap Throws that work:</t>
        </is>
      </c>
      <c r="E1828" s="34" t="inlineStr">
        <is>
          <t>Neutral Throw, Up Throw, Down Throw, Spin Throw</t>
        </is>
      </c>
      <c r="F1828" s="34" t="inlineStr">
        <is>
          <t>Neutral Throw</t>
        </is>
      </c>
      <c r="G1828" s="34" t="inlineStr">
        <is>
          <t>Neutral Throw, Up Throw, Down Throw, Spin Throw</t>
        </is>
      </c>
      <c r="H1828" s="34" t="n"/>
      <c r="I1828" s="34" t="n"/>
      <c r="J1828" s="16" t="n"/>
    </row>
    <row r="1829">
      <c r="A1829" s="43" t="n"/>
      <c r="B1829" s="44" t="n"/>
      <c r="C1829" s="43" t="n"/>
      <c r="D1829" s="19" t="inlineStr">
        <is>
          <t>Other Required:</t>
        </is>
      </c>
      <c r="E1829" s="35" t="inlineStr">
        <is>
          <t>Ground Pound, Capture</t>
        </is>
      </c>
      <c r="F1829" s="35" t="inlineStr">
        <is>
          <t>Ground Pound</t>
        </is>
      </c>
      <c r="G1829" s="35" t="inlineStr">
        <is>
          <t>Ground Pound, Dive</t>
        </is>
      </c>
      <c r="H1829" s="35" t="n"/>
      <c r="I1829" s="35" t="n"/>
      <c r="J1829" s="16" t="n"/>
    </row>
    <row r="1830">
      <c r="A1830" s="41" t="b">
        <v>1</v>
      </c>
      <c r="B1830" s="31" t="inlineStr">
        <is>
          <t>Bowser's Kingdom: Big Broodal Battle</t>
        </is>
      </c>
      <c r="C1830" s="35" t="inlineStr">
        <is>
          <t>Pokio</t>
        </is>
      </c>
      <c r="D1830" s="12" t="inlineStr">
        <is>
          <t>Minimum Jump Height:</t>
        </is>
      </c>
      <c r="E1830" s="34" t="inlineStr">
        <is>
          <t>Single Jump (258)</t>
        </is>
      </c>
      <c r="F1830" s="34" t="inlineStr">
        <is>
          <t>Single Jump (258)</t>
        </is>
      </c>
      <c r="G1830" s="34" t="inlineStr">
        <is>
          <t>Cap Return Jump (400)</t>
        </is>
      </c>
      <c r="H1830" s="34" t="n"/>
      <c r="I1830" s="34" t="n"/>
      <c r="J1830" s="16" t="n"/>
    </row>
    <row r="1831">
      <c r="B1831" s="42" t="n"/>
      <c r="D1831" s="12" t="inlineStr">
        <is>
          <t>Cap Throws that work:</t>
        </is>
      </c>
      <c r="E1831" s="34" t="inlineStr">
        <is>
          <t>Neutral Throw, Up Throw, Down Throw, Spin Throw</t>
        </is>
      </c>
      <c r="F1831" s="34" t="inlineStr">
        <is>
          <t>Neutral Throw</t>
        </is>
      </c>
      <c r="G1831" s="34" t="inlineStr">
        <is>
          <t>Neutral Throw, Up Throw, Down Throw, Spin Throw</t>
        </is>
      </c>
      <c r="H1831" s="34" t="n"/>
      <c r="I1831" s="34" t="n"/>
      <c r="J1831" s="16" t="n"/>
    </row>
    <row r="1832">
      <c r="A1832" s="43" t="n"/>
      <c r="B1832" s="44" t="n"/>
      <c r="C1832" s="43" t="n"/>
      <c r="D1832" s="19" t="inlineStr">
        <is>
          <t>Other Required:</t>
        </is>
      </c>
      <c r="E1832" s="35" t="inlineStr">
        <is>
          <t>Ground Pound, Capture</t>
        </is>
      </c>
      <c r="F1832" s="35" t="inlineStr">
        <is>
          <t>Ground Pound</t>
        </is>
      </c>
      <c r="G1832" s="35" t="inlineStr">
        <is>
          <t>Ground Pound, Dive</t>
        </is>
      </c>
      <c r="H1832" s="35" t="n"/>
      <c r="I1832" s="35" t="n"/>
      <c r="J1832" s="16" t="n"/>
    </row>
    <row r="1833">
      <c r="A1833" s="41" t="b">
        <v>1</v>
      </c>
      <c r="B1833" s="31" t="inlineStr">
        <is>
          <t>Bowser's Kingdom: Showdown at Bowser's Castle</t>
        </is>
      </c>
      <c r="C1833" s="35" t="inlineStr">
        <is>
          <t>Pokio</t>
        </is>
      </c>
      <c r="D1833" s="12" t="inlineStr">
        <is>
          <t>Minimum Jump Height:</t>
        </is>
      </c>
      <c r="E1833" s="34" t="inlineStr">
        <is>
          <t>Single Jump (258)</t>
        </is>
      </c>
      <c r="F1833" s="34" t="inlineStr">
        <is>
          <t>Cap Return Jump (400)</t>
        </is>
      </c>
      <c r="G1833" s="34" t="n"/>
      <c r="H1833" s="34" t="n"/>
      <c r="I1833" s="34" t="n"/>
      <c r="J1833" s="16" t="n"/>
    </row>
    <row r="1834">
      <c r="B1834" s="42" t="n"/>
      <c r="D1834" s="12" t="inlineStr">
        <is>
          <t>Cap Throws that work:</t>
        </is>
      </c>
      <c r="E1834" s="34" t="inlineStr">
        <is>
          <t>Neutral Throw, Up Throw, Down Throw, Spin Throw</t>
        </is>
      </c>
      <c r="F1834" s="34" t="inlineStr">
        <is>
          <t>Neutral Throw, Up Throw, Down Throw, Spin Throw</t>
        </is>
      </c>
      <c r="G1834" s="34" t="n"/>
      <c r="H1834" s="34" t="n"/>
      <c r="I1834" s="34" t="n"/>
      <c r="J1834" s="16" t="n"/>
    </row>
    <row r="1835">
      <c r="A1835" s="43" t="n"/>
      <c r="B1835" s="44" t="n"/>
      <c r="C1835" s="43" t="n"/>
      <c r="D1835" s="19" t="inlineStr">
        <is>
          <t>Other Required:</t>
        </is>
      </c>
      <c r="E1835" s="35" t="inlineStr">
        <is>
          <t>Ground Pound, Capture</t>
        </is>
      </c>
      <c r="F1835" s="35" t="inlineStr">
        <is>
          <t>Ground Pound, Dive</t>
        </is>
      </c>
      <c r="G1835" s="35" t="n"/>
      <c r="H1835" s="35" t="n"/>
      <c r="I1835" s="35" t="n"/>
      <c r="J1835" s="16" t="n"/>
    </row>
    <row r="1836">
      <c r="A1836" s="41" t="b">
        <v>1</v>
      </c>
      <c r="B1836" s="31" t="inlineStr">
        <is>
          <t>Bowser's Kingdom: Behind the Big Wall</t>
        </is>
      </c>
      <c r="C1836" s="35" t="inlineStr">
        <is>
          <t>Pokio</t>
        </is>
      </c>
      <c r="D1836" s="12" t="inlineStr">
        <is>
          <t>Minimum Jump Height:</t>
        </is>
      </c>
      <c r="E1836" s="34" t="inlineStr">
        <is>
          <t>Single Jump (258)</t>
        </is>
      </c>
      <c r="F1836" s="34" t="n"/>
      <c r="G1836" s="34" t="n"/>
      <c r="H1836" s="34" t="n"/>
      <c r="I1836" s="34" t="n"/>
      <c r="J1836" s="16" t="n"/>
    </row>
    <row r="1837">
      <c r="B1837" s="42" t="n"/>
      <c r="D1837" s="12" t="inlineStr">
        <is>
          <t>Cap Throws that work:</t>
        </is>
      </c>
      <c r="E1837" s="34" t="inlineStr">
        <is>
          <t>Neutral Throw, Up Throw, Down Throw, Spin Throw</t>
        </is>
      </c>
      <c r="F1837" s="34" t="n"/>
      <c r="G1837" s="34" t="n"/>
      <c r="H1837" s="34" t="n"/>
      <c r="I1837" s="34" t="n"/>
      <c r="J1837" s="16" t="n"/>
    </row>
    <row r="1838">
      <c r="A1838" s="43" t="n"/>
      <c r="B1838" s="44" t="n"/>
      <c r="C1838" s="43" t="n"/>
      <c r="D1838" s="19" t="inlineStr">
        <is>
          <t>Other Required:</t>
        </is>
      </c>
      <c r="E1838" s="35" t="inlineStr">
        <is>
          <t>Capture</t>
        </is>
      </c>
      <c r="F1838" s="35" t="n"/>
      <c r="G1838" s="35" t="n"/>
      <c r="H1838" s="35" t="n"/>
      <c r="I1838" s="35" t="n"/>
      <c r="J1838" s="16" t="n"/>
    </row>
    <row r="1839">
      <c r="A1839" s="41" t="b">
        <v>1</v>
      </c>
      <c r="B1839" s="31" t="inlineStr">
        <is>
          <t>Bowser's Kingdom: Treasure Inside the Turret</t>
        </is>
      </c>
      <c r="C1839" s="35" t="inlineStr">
        <is>
          <t>Pokio</t>
        </is>
      </c>
      <c r="D1839" s="12" t="inlineStr">
        <is>
          <t>Minimum Jump Height:</t>
        </is>
      </c>
      <c r="E1839" s="34" t="inlineStr">
        <is>
          <t>Single Jump (258)</t>
        </is>
      </c>
      <c r="F1839" s="34" t="inlineStr">
        <is>
          <t>Long Jump</t>
        </is>
      </c>
      <c r="G1839" s="34" t="inlineStr">
        <is>
          <t>Long Jump</t>
        </is>
      </c>
      <c r="H1839" s="34" t="inlineStr">
        <is>
          <t>Single Jump (258)</t>
        </is>
      </c>
      <c r="I1839" s="34" t="inlineStr">
        <is>
          <t>Cap Return Jump (400)</t>
        </is>
      </c>
      <c r="J1839" s="16" t="n"/>
    </row>
    <row r="1840">
      <c r="B1840" s="42" t="n"/>
      <c r="D1840" s="12" t="inlineStr">
        <is>
          <t>Cap Throws that work:</t>
        </is>
      </c>
      <c r="E1840" s="34" t="inlineStr">
        <is>
          <t>Neutral Throw, Up Throw</t>
        </is>
      </c>
      <c r="F1840" s="34" t="inlineStr">
        <is>
          <t>Neutral Throw</t>
        </is>
      </c>
      <c r="G1840" s="34" t="inlineStr">
        <is>
          <t>Neutral Throw, Up Throw, Down Throw, Spin Throw</t>
        </is>
      </c>
      <c r="H1840" s="34" t="inlineStr">
        <is>
          <t>Neutral Throw, Up Throw, Down Throw, Spin Throw</t>
        </is>
      </c>
      <c r="I1840" s="34" t="inlineStr">
        <is>
          <t>Neutral Throw, Up Throw, Down Throw, Spin Throw</t>
        </is>
      </c>
      <c r="J1840" s="16" t="n"/>
    </row>
    <row r="1841">
      <c r="A1841" s="43" t="n"/>
      <c r="B1841" s="44" t="n"/>
      <c r="C1841" s="43" t="n"/>
      <c r="D1841" s="19" t="inlineStr">
        <is>
          <t>Other Required:</t>
        </is>
      </c>
      <c r="E1841" s="35" t="n"/>
      <c r="F1841" s="35" t="n"/>
      <c r="G1841" s="35" t="inlineStr">
        <is>
          <t>Capture</t>
        </is>
      </c>
      <c r="H1841" s="35" t="n"/>
      <c r="I1841" s="35" t="n"/>
      <c r="J1841" s="16" t="n"/>
    </row>
    <row r="1842">
      <c r="A1842" s="41" t="b">
        <v>1</v>
      </c>
      <c r="B1842" s="31" t="inlineStr">
        <is>
          <t>Bowser's Kingdom: From the Side Above the Castle Gate</t>
        </is>
      </c>
      <c r="C1842" s="35" t="n"/>
      <c r="D1842" s="12" t="inlineStr">
        <is>
          <t>Minimum Jump Height:</t>
        </is>
      </c>
      <c r="E1842" s="34" t="inlineStr">
        <is>
          <t>Single Jump (258)</t>
        </is>
      </c>
      <c r="F1842" s="34" t="n"/>
      <c r="G1842" s="34" t="n"/>
      <c r="H1842" s="34" t="n"/>
      <c r="I1842" s="34" t="n"/>
      <c r="J1842" s="16" t="n"/>
    </row>
    <row r="1843">
      <c r="B1843" s="42" t="n"/>
      <c r="D1843" s="12" t="inlineStr">
        <is>
          <t>Cap Throws that work:</t>
        </is>
      </c>
      <c r="E1843" s="34" t="inlineStr">
        <is>
          <t>Neutral Throw, Up Throw, Down Throw, Spin Throw</t>
        </is>
      </c>
      <c r="F1843" s="34" t="n"/>
      <c r="G1843" s="34" t="n"/>
      <c r="H1843" s="34" t="n"/>
      <c r="I1843" s="34" t="n"/>
      <c r="J1843" s="16" t="n"/>
    </row>
    <row r="1844">
      <c r="A1844" s="43" t="n"/>
      <c r="B1844" s="44" t="n"/>
      <c r="C1844" s="43" t="n"/>
      <c r="D1844" s="19" t="inlineStr">
        <is>
          <t>Other Required:</t>
        </is>
      </c>
      <c r="E1844" s="35" t="inlineStr">
        <is>
          <t>Capture</t>
        </is>
      </c>
      <c r="F1844" s="35" t="n"/>
      <c r="G1844" s="35" t="n"/>
      <c r="H1844" s="35" t="n"/>
      <c r="I1844" s="35" t="n"/>
      <c r="J1844" s="16" t="n"/>
    </row>
    <row r="1845">
      <c r="A1845" s="41" t="b">
        <v>1</v>
      </c>
      <c r="B1845" s="31" t="inlineStr">
        <is>
          <t>Bowser's Kingdom: Sunken Treasure in the Moat</t>
        </is>
      </c>
      <c r="C1845" s="35" t="n"/>
      <c r="D1845" s="12" t="inlineStr">
        <is>
          <t>Minimum Jump Height:</t>
        </is>
      </c>
      <c r="E1845" s="34" t="inlineStr">
        <is>
          <t>Long Jump</t>
        </is>
      </c>
      <c r="F1845" s="34" t="n"/>
      <c r="G1845" s="34" t="n"/>
      <c r="H1845" s="34" t="n"/>
      <c r="I1845" s="34" t="n"/>
      <c r="J1845" s="16" t="n"/>
    </row>
    <row r="1846">
      <c r="B1846" s="42" t="n"/>
      <c r="D1846" s="12" t="inlineStr">
        <is>
          <t>Cap Throws that work:</t>
        </is>
      </c>
      <c r="E1846" s="34" t="inlineStr">
        <is>
          <t>No Cap Throw Needed</t>
        </is>
      </c>
      <c r="F1846" s="34" t="n"/>
      <c r="G1846" s="34" t="n"/>
      <c r="H1846" s="34" t="n"/>
      <c r="I1846" s="34" t="n"/>
      <c r="J1846" s="16" t="n"/>
    </row>
    <row r="1847">
      <c r="A1847" s="43" t="n"/>
      <c r="B1847" s="44" t="n"/>
      <c r="C1847" s="43" t="n"/>
      <c r="D1847" s="19" t="inlineStr">
        <is>
          <t>Other Required:</t>
        </is>
      </c>
      <c r="E1847" s="35" t="inlineStr">
        <is>
          <t>None</t>
        </is>
      </c>
      <c r="F1847" s="35" t="n"/>
      <c r="G1847" s="35" t="n"/>
      <c r="H1847" s="35" t="n"/>
      <c r="I1847" s="35" t="n"/>
      <c r="J1847" s="16" t="n"/>
    </row>
    <row r="1848">
      <c r="A1848" s="41" t="b">
        <v>1</v>
      </c>
      <c r="B1848" s="31" t="inlineStr">
        <is>
          <t>Bowser's Kingdom: Past the Moving Wall</t>
        </is>
      </c>
      <c r="C1848" s="35" t="inlineStr">
        <is>
          <t>Pokio</t>
        </is>
      </c>
      <c r="D1848" s="12" t="inlineStr">
        <is>
          <t>Minimum Jump Height:</t>
        </is>
      </c>
      <c r="E1848" s="34" t="inlineStr">
        <is>
          <t>Long Jump</t>
        </is>
      </c>
      <c r="F1848" s="34" t="inlineStr">
        <is>
          <t>Single Jump (258)</t>
        </is>
      </c>
      <c r="G1848" s="34" t="inlineStr">
        <is>
          <t>Long Jump</t>
        </is>
      </c>
      <c r="H1848" s="34" t="inlineStr">
        <is>
          <t>Long Jump</t>
        </is>
      </c>
      <c r="I1848" s="34" t="n"/>
      <c r="J1848" s="16" t="n"/>
    </row>
    <row r="1849">
      <c r="B1849" s="42" t="n"/>
      <c r="D1849" s="12" t="inlineStr">
        <is>
          <t>Cap Throws that work:</t>
        </is>
      </c>
      <c r="E1849" s="34" t="inlineStr">
        <is>
          <t>Neutral Throw, Down Throw</t>
        </is>
      </c>
      <c r="F1849" s="34" t="inlineStr">
        <is>
          <t>Neutral Throw, Up Throw, Down Throw, Spin Throw</t>
        </is>
      </c>
      <c r="G1849" s="34" t="inlineStr">
        <is>
          <t>Neutral Throw, Up Throw, Down Throw, Spin Throw</t>
        </is>
      </c>
      <c r="H1849" s="34" t="inlineStr">
        <is>
          <t>Neutral Throw, Up Throw, Down Throw, Spin Throw</t>
        </is>
      </c>
      <c r="I1849" s="34" t="n"/>
      <c r="J1849" s="16" t="n"/>
    </row>
    <row r="1850">
      <c r="A1850" s="43" t="n"/>
      <c r="B1850" s="44" t="n"/>
      <c r="C1850" s="43" t="n"/>
      <c r="D1850" s="19" t="inlineStr">
        <is>
          <t>Other Required:</t>
        </is>
      </c>
      <c r="E1850" s="35" t="inlineStr">
        <is>
          <t>None</t>
        </is>
      </c>
      <c r="F1850" s="35" t="inlineStr">
        <is>
          <t>None</t>
        </is>
      </c>
      <c r="G1850" s="35" t="inlineStr">
        <is>
          <t>Capture</t>
        </is>
      </c>
      <c r="H1850" s="35" t="inlineStr">
        <is>
          <t>Dive</t>
        </is>
      </c>
      <c r="I1850" s="35" t="n"/>
      <c r="J1850" s="16" t="n"/>
    </row>
    <row r="1851">
      <c r="A1851" s="41" t="b">
        <v>1</v>
      </c>
      <c r="B1851" s="31" t="inlineStr">
        <is>
          <t>Bowser's Kingdom: Above the Poison Swamp</t>
        </is>
      </c>
      <c r="C1851" s="35" t="inlineStr">
        <is>
          <t>Pokio</t>
        </is>
      </c>
      <c r="D1851" s="12" t="inlineStr">
        <is>
          <t>Minimum Jump Height:</t>
        </is>
      </c>
      <c r="E1851" s="34" t="inlineStr">
        <is>
          <t>Long Jump</t>
        </is>
      </c>
      <c r="F1851" s="34" t="inlineStr">
        <is>
          <t>Long Jump</t>
        </is>
      </c>
      <c r="G1851" s="34" t="n"/>
      <c r="H1851" s="34" t="n"/>
      <c r="I1851" s="34" t="n"/>
      <c r="J1851" s="16" t="n"/>
    </row>
    <row r="1852">
      <c r="B1852" s="42" t="n"/>
      <c r="D1852" s="12" t="inlineStr">
        <is>
          <t>Cap Throws that work:</t>
        </is>
      </c>
      <c r="E1852" s="34" t="inlineStr">
        <is>
          <t>Neutral Throw, Up Throw, Down Throw, Spin Throw</t>
        </is>
      </c>
      <c r="F1852" s="34" t="inlineStr">
        <is>
          <t>Neutral Throw, Down Throw</t>
        </is>
      </c>
      <c r="G1852" s="34" t="n"/>
      <c r="H1852" s="34" t="n"/>
      <c r="I1852" s="34" t="n"/>
      <c r="J1852" s="16" t="n"/>
    </row>
    <row r="1853">
      <c r="A1853" s="43" t="n"/>
      <c r="B1853" s="44" t="n"/>
      <c r="C1853" s="43" t="n"/>
      <c r="D1853" s="19" t="inlineStr">
        <is>
          <t>Other Required:</t>
        </is>
      </c>
      <c r="E1853" s="35" t="inlineStr">
        <is>
          <t>Capture</t>
        </is>
      </c>
      <c r="F1853" s="35" t="inlineStr">
        <is>
          <t>Dive</t>
        </is>
      </c>
      <c r="G1853" s="35" t="n"/>
      <c r="H1853" s="35" t="n"/>
      <c r="I1853" s="35" t="n"/>
      <c r="J1853" s="16" t="n"/>
    </row>
    <row r="1854">
      <c r="A1854" s="41" t="b">
        <v>1</v>
      </c>
      <c r="B1854" s="31" t="inlineStr">
        <is>
          <t>Bowser's Kingdom: Knocking Down the Nice Frame</t>
        </is>
      </c>
      <c r="C1854" s="35" t="inlineStr">
        <is>
          <t>Pokio</t>
        </is>
      </c>
      <c r="D1854" s="12" t="inlineStr">
        <is>
          <t>Minimum Jump Height:</t>
        </is>
      </c>
      <c r="E1854" s="34" t="inlineStr">
        <is>
          <t>Long Jump</t>
        </is>
      </c>
      <c r="F1854" s="34" t="inlineStr">
        <is>
          <t>Long Jump</t>
        </is>
      </c>
      <c r="G1854" s="34" t="n"/>
      <c r="H1854" s="34" t="n"/>
      <c r="I1854" s="34" t="n"/>
      <c r="J1854" s="16" t="n"/>
    </row>
    <row r="1855">
      <c r="B1855" s="42" t="n"/>
      <c r="D1855" s="12" t="inlineStr">
        <is>
          <t>Cap Throws that work:</t>
        </is>
      </c>
      <c r="E1855" s="34" t="inlineStr">
        <is>
          <t>Neutral Throw, Up Throw, Down Throw, Spin Throw</t>
        </is>
      </c>
      <c r="F1855" s="34" t="inlineStr">
        <is>
          <t>Neutral Throw, Down Throw</t>
        </is>
      </c>
      <c r="G1855" s="34" t="n"/>
      <c r="H1855" s="34" t="n"/>
      <c r="I1855" s="34" t="n"/>
      <c r="J1855" s="16" t="n"/>
    </row>
    <row r="1856">
      <c r="A1856" s="43" t="n"/>
      <c r="B1856" s="44" t="n"/>
      <c r="C1856" s="43" t="n"/>
      <c r="D1856" s="19" t="inlineStr">
        <is>
          <t>Other Required:</t>
        </is>
      </c>
      <c r="E1856" s="35" t="inlineStr">
        <is>
          <t>Capture</t>
        </is>
      </c>
      <c r="F1856" s="35" t="inlineStr">
        <is>
          <t>Dive</t>
        </is>
      </c>
      <c r="G1856" s="35" t="n"/>
      <c r="H1856" s="35" t="n"/>
      <c r="I1856" s="35" t="n"/>
      <c r="J1856" s="16" t="n"/>
    </row>
    <row r="1857">
      <c r="A1857" s="41" t="b">
        <v>1</v>
      </c>
      <c r="B1857" s="31" t="inlineStr">
        <is>
          <t>Bowser's Kingdom: Caught on the Iron Fence</t>
        </is>
      </c>
      <c r="C1857" s="35" t="n"/>
      <c r="D1857" s="12" t="inlineStr">
        <is>
          <t>Minimum Jump Height:</t>
        </is>
      </c>
      <c r="E1857" s="34" t="inlineStr">
        <is>
          <t>Long Jump</t>
        </is>
      </c>
      <c r="F1857" s="34" t="n"/>
      <c r="G1857" s="34" t="n"/>
      <c r="H1857" s="34" t="n"/>
      <c r="I1857" s="34" t="n"/>
      <c r="J1857" s="16" t="n"/>
    </row>
    <row r="1858">
      <c r="B1858" s="42" t="n"/>
      <c r="D1858" s="12" t="inlineStr">
        <is>
          <t>Cap Throws that work:</t>
        </is>
      </c>
      <c r="E1858" s="34" t="inlineStr">
        <is>
          <t>Neutral Throw, Up Throw, Down Throw, Spin Throw</t>
        </is>
      </c>
      <c r="F1858" s="34" t="n"/>
      <c r="G1858" s="34" t="n"/>
      <c r="H1858" s="34" t="n"/>
      <c r="I1858" s="34" t="n"/>
      <c r="J1858" s="16" t="n"/>
    </row>
    <row r="1859">
      <c r="A1859" s="43" t="n"/>
      <c r="B1859" s="44" t="n"/>
      <c r="C1859" s="43" t="n"/>
      <c r="D1859" s="19" t="inlineStr">
        <is>
          <t>Other Required:</t>
        </is>
      </c>
      <c r="E1859" s="35" t="inlineStr">
        <is>
          <t>None</t>
        </is>
      </c>
      <c r="F1859" s="35" t="n"/>
      <c r="G1859" s="35" t="n"/>
      <c r="H1859" s="35" t="n"/>
      <c r="I1859" s="35" t="n"/>
      <c r="J1859" s="16" t="n"/>
    </row>
    <row r="1860">
      <c r="A1860" s="41" t="b">
        <v>1</v>
      </c>
      <c r="B1860" s="31" t="inlineStr">
        <is>
          <t>Bowser's Kingdom: On the Giant Bowser Statue's Nose</t>
        </is>
      </c>
      <c r="C1860" s="35" t="n"/>
      <c r="D1860" s="12" t="inlineStr">
        <is>
          <t>Minimum Jump Height:</t>
        </is>
      </c>
      <c r="E1860" s="34" t="inlineStr">
        <is>
          <t>Long Jump</t>
        </is>
      </c>
      <c r="F1860" s="34" t="n"/>
      <c r="G1860" s="34" t="n"/>
      <c r="H1860" s="34" t="n"/>
      <c r="I1860" s="34" t="n"/>
      <c r="J1860" s="16" t="n"/>
    </row>
    <row r="1861">
      <c r="B1861" s="42" t="n"/>
      <c r="D1861" s="12" t="inlineStr">
        <is>
          <t>Cap Throws that work:</t>
        </is>
      </c>
      <c r="E1861" s="34" t="inlineStr">
        <is>
          <t>Neutral Throw, Up Throw, Down Throw, Spin Throw</t>
        </is>
      </c>
      <c r="F1861" s="34" t="n"/>
      <c r="G1861" s="34" t="n"/>
      <c r="H1861" s="34" t="n"/>
      <c r="I1861" s="34" t="n"/>
      <c r="J1861" s="16" t="n"/>
    </row>
    <row r="1862">
      <c r="A1862" s="43" t="n"/>
      <c r="B1862" s="44" t="n"/>
      <c r="C1862" s="43" t="n"/>
      <c r="D1862" s="19" t="inlineStr">
        <is>
          <t>Other Required:</t>
        </is>
      </c>
      <c r="E1862" s="35" t="inlineStr">
        <is>
          <t>Ground Pound, Capture</t>
        </is>
      </c>
      <c r="F1862" s="35" t="n"/>
      <c r="G1862" s="35" t="n"/>
      <c r="H1862" s="35" t="n"/>
      <c r="I1862" s="35" t="n"/>
      <c r="J1862" s="16" t="n"/>
    </row>
    <row r="1863">
      <c r="A1863" s="41" t="b">
        <v>1</v>
      </c>
      <c r="B1863" s="31" t="inlineStr">
        <is>
          <t>Bowser's Kingdom: Inside a Block in the Castle</t>
        </is>
      </c>
      <c r="C1863" s="35" t="n"/>
      <c r="D1863" s="12" t="inlineStr">
        <is>
          <t>Minimum Jump Height:</t>
        </is>
      </c>
      <c r="E1863" s="34" t="inlineStr">
        <is>
          <t>Long Jump</t>
        </is>
      </c>
      <c r="F1863" s="34" t="n"/>
      <c r="G1863" s="34" t="n"/>
      <c r="H1863" s="34" t="n"/>
      <c r="I1863" s="34" t="n"/>
      <c r="J1863" s="16" t="n"/>
    </row>
    <row r="1864">
      <c r="B1864" s="42" t="n"/>
      <c r="D1864" s="12" t="inlineStr">
        <is>
          <t>Cap Throws that work:</t>
        </is>
      </c>
      <c r="E1864" s="34" t="inlineStr">
        <is>
          <t>No Cap Throw Needed</t>
        </is>
      </c>
      <c r="F1864" s="34" t="n"/>
      <c r="G1864" s="34" t="n"/>
      <c r="H1864" s="34" t="n"/>
      <c r="I1864" s="34" t="n"/>
      <c r="J1864" s="16" t="n"/>
    </row>
    <row r="1865">
      <c r="A1865" s="43" t="n"/>
      <c r="B1865" s="44" t="n"/>
      <c r="C1865" s="43" t="n"/>
      <c r="D1865" s="19" t="inlineStr">
        <is>
          <t>Other Required:</t>
        </is>
      </c>
      <c r="E1865" s="35" t="inlineStr">
        <is>
          <t>None</t>
        </is>
      </c>
      <c r="F1865" s="35" t="n"/>
      <c r="G1865" s="35" t="n"/>
      <c r="H1865" s="35" t="n"/>
      <c r="I1865" s="35" t="n"/>
      <c r="J1865" s="16" t="n"/>
    </row>
    <row r="1866">
      <c r="A1866" s="41" t="b">
        <v>1</v>
      </c>
      <c r="B1866" s="31" t="inlineStr">
        <is>
          <t>Bowser's Kingdom: Caught Hopping at Bowser's Castle!</t>
        </is>
      </c>
      <c r="C1866" s="35" t="n"/>
      <c r="D1866" s="12" t="inlineStr">
        <is>
          <t>Minimum Jump Height:</t>
        </is>
      </c>
      <c r="E1866" s="34" t="inlineStr">
        <is>
          <t>Long Jump</t>
        </is>
      </c>
      <c r="F1866" s="34" t="n"/>
      <c r="G1866" s="34" t="n"/>
      <c r="H1866" s="34" t="n"/>
      <c r="I1866" s="34" t="n"/>
      <c r="J1866" s="16" t="n"/>
    </row>
    <row r="1867">
      <c r="B1867" s="42" t="n"/>
      <c r="D1867" s="12" t="inlineStr">
        <is>
          <t>Cap Throws that work:</t>
        </is>
      </c>
      <c r="E1867" s="34" t="inlineStr">
        <is>
          <t>Neutral Throw, Up Throw, Down Throw, Spin Throw</t>
        </is>
      </c>
      <c r="F1867" s="34" t="n"/>
      <c r="G1867" s="34" t="n"/>
      <c r="H1867" s="34" t="n"/>
      <c r="I1867" s="34" t="n"/>
      <c r="J1867" s="16" t="n"/>
    </row>
    <row r="1868">
      <c r="A1868" s="43" t="n"/>
      <c r="B1868" s="44" t="n"/>
      <c r="C1868" s="43" t="n"/>
      <c r="D1868" s="19" t="inlineStr">
        <is>
          <t>Other Required:</t>
        </is>
      </c>
      <c r="E1868" s="35" t="inlineStr">
        <is>
          <t>Capture</t>
        </is>
      </c>
      <c r="F1868" s="35" t="n"/>
      <c r="G1868" s="35" t="n"/>
      <c r="H1868" s="35" t="n"/>
      <c r="I1868" s="35" t="n"/>
      <c r="J1868" s="16" t="n"/>
    </row>
    <row r="1869">
      <c r="A1869" s="41" t="b">
        <v>1</v>
      </c>
      <c r="B1869" s="31" t="inlineStr">
        <is>
          <t>Bowser's Kingdom: Exterminate the Ogres!</t>
        </is>
      </c>
      <c r="C1869" s="35" t="n"/>
      <c r="D1869" s="12" t="inlineStr">
        <is>
          <t>Minimum Jump Height:</t>
        </is>
      </c>
      <c r="E1869" s="34" t="inlineStr">
        <is>
          <t>Single Jump (258)</t>
        </is>
      </c>
      <c r="F1869" s="34" t="n"/>
      <c r="G1869" s="34" t="n"/>
      <c r="H1869" s="34" t="n"/>
      <c r="I1869" s="34" t="n"/>
      <c r="J1869" s="16" t="n"/>
    </row>
    <row r="1870">
      <c r="B1870" s="42" t="n"/>
      <c r="D1870" s="12" t="inlineStr">
        <is>
          <t>Cap Throws that work:</t>
        </is>
      </c>
      <c r="E1870" s="34" t="inlineStr">
        <is>
          <t>Neutral Throw, Up Throw, Down Throw, Spin Throw</t>
        </is>
      </c>
      <c r="F1870" s="34" t="n"/>
      <c r="G1870" s="34" t="n"/>
      <c r="H1870" s="34" t="n"/>
      <c r="I1870" s="34" t="n"/>
      <c r="J1870" s="16" t="n"/>
    </row>
    <row r="1871">
      <c r="A1871" s="43" t="n"/>
      <c r="B1871" s="44" t="n"/>
      <c r="C1871" s="43" t="n"/>
      <c r="D1871" s="19" t="inlineStr">
        <is>
          <t>Other Required:</t>
        </is>
      </c>
      <c r="E1871" s="35" t="inlineStr">
        <is>
          <t>Ground Pound, Capture</t>
        </is>
      </c>
      <c r="F1871" s="35" t="n"/>
      <c r="G1871" s="35" t="n"/>
      <c r="H1871" s="35" t="n"/>
      <c r="I1871" s="35" t="n"/>
      <c r="J1871" s="16" t="n"/>
    </row>
    <row r="1872">
      <c r="A1872" s="41" t="b">
        <v>1</v>
      </c>
      <c r="B1872" s="31" t="inlineStr">
        <is>
          <t>Bowser's Kingdom: Bowser's Kingdom Timer Challenge 1</t>
        </is>
      </c>
      <c r="C1872" s="35" t="n"/>
      <c r="D1872" s="12" t="inlineStr">
        <is>
          <t>Minimum Jump Height:</t>
        </is>
      </c>
      <c r="E1872" s="34" t="inlineStr">
        <is>
          <t>Single Jump (258)</t>
        </is>
      </c>
      <c r="F1872" s="34" t="n"/>
      <c r="G1872" s="34" t="n"/>
      <c r="H1872" s="34" t="n"/>
      <c r="I1872" s="34" t="n"/>
      <c r="J1872" s="16" t="n"/>
    </row>
    <row r="1873">
      <c r="B1873" s="42" t="n"/>
      <c r="D1873" s="12" t="inlineStr">
        <is>
          <t>Cap Throws that work:</t>
        </is>
      </c>
      <c r="E1873" s="34" t="inlineStr">
        <is>
          <t>Neutral Throw, Up Throw, Down Throw, Spin Throw</t>
        </is>
      </c>
      <c r="F1873" s="34" t="n"/>
      <c r="G1873" s="34" t="n"/>
      <c r="H1873" s="34" t="n"/>
      <c r="I1873" s="34" t="n"/>
      <c r="J1873" s="16" t="n"/>
    </row>
    <row r="1874">
      <c r="A1874" s="43" t="n"/>
      <c r="B1874" s="44" t="n"/>
      <c r="C1874" s="43" t="n"/>
      <c r="D1874" s="19" t="inlineStr">
        <is>
          <t>Other Required:</t>
        </is>
      </c>
      <c r="E1874" s="35" t="inlineStr">
        <is>
          <t>Capture</t>
        </is>
      </c>
      <c r="F1874" s="35" t="n"/>
      <c r="G1874" s="35" t="n"/>
      <c r="H1874" s="35" t="n"/>
      <c r="I1874" s="35" t="n"/>
      <c r="J1874" s="16" t="n"/>
    </row>
    <row r="1875">
      <c r="A1875" s="41" t="b">
        <v>1</v>
      </c>
      <c r="B1875" s="31" t="inlineStr">
        <is>
          <t>Bowser's Kingdom: Taking Notes: Between Spinies</t>
        </is>
      </c>
      <c r="C1875" s="35" t="n"/>
      <c r="D1875" s="12" t="inlineStr">
        <is>
          <t>Minimum Jump Height:</t>
        </is>
      </c>
      <c r="E1875" s="34" t="inlineStr">
        <is>
          <t>Single Jump (258)</t>
        </is>
      </c>
      <c r="F1875" s="34" t="n"/>
      <c r="G1875" s="34" t="n"/>
      <c r="H1875" s="34" t="n"/>
      <c r="I1875" s="34" t="n"/>
      <c r="J1875" s="16" t="n"/>
    </row>
    <row r="1876">
      <c r="B1876" s="42" t="n"/>
      <c r="D1876" s="12" t="inlineStr">
        <is>
          <t>Cap Throws that work:</t>
        </is>
      </c>
      <c r="E1876" s="34" t="inlineStr">
        <is>
          <t>Neutral Throw, Up Throw, Down Throw, Spin Throw</t>
        </is>
      </c>
      <c r="F1876" s="34" t="n"/>
      <c r="G1876" s="34" t="n"/>
      <c r="H1876" s="34" t="n"/>
      <c r="I1876" s="34" t="n"/>
      <c r="J1876" s="16" t="n"/>
    </row>
    <row r="1877">
      <c r="A1877" s="43" t="n"/>
      <c r="B1877" s="44" t="n"/>
      <c r="C1877" s="43" t="n"/>
      <c r="D1877" s="19" t="inlineStr">
        <is>
          <t>Other Required:</t>
        </is>
      </c>
      <c r="E1877" s="35" t="inlineStr">
        <is>
          <t>Capture</t>
        </is>
      </c>
      <c r="F1877" s="35" t="n"/>
      <c r="G1877" s="35" t="n"/>
      <c r="H1877" s="35" t="n"/>
      <c r="I1877" s="35" t="n"/>
      <c r="J1877" s="16" t="n"/>
    </row>
    <row r="1878">
      <c r="A1878" s="41" t="b">
        <v>1</v>
      </c>
      <c r="B1878" s="31" t="inlineStr">
        <is>
          <t>Bowser's Kingdom: Stack Up Above the Wall</t>
        </is>
      </c>
      <c r="C1878" s="35" t="inlineStr">
        <is>
          <t>Goomba</t>
        </is>
      </c>
      <c r="D1878" s="12" t="inlineStr">
        <is>
          <t>Minimum Jump Height:</t>
        </is>
      </c>
      <c r="E1878" s="34" t="inlineStr">
        <is>
          <t>No Jump Needed</t>
        </is>
      </c>
      <c r="F1878" s="34" t="n"/>
      <c r="G1878" s="34" t="n"/>
      <c r="H1878" s="34" t="n"/>
      <c r="I1878" s="34" t="n"/>
      <c r="J1878" s="16" t="n"/>
    </row>
    <row r="1879">
      <c r="B1879" s="42" t="n"/>
      <c r="D1879" s="12" t="inlineStr">
        <is>
          <t>Cap Throws that work:</t>
        </is>
      </c>
      <c r="E1879" s="34" t="inlineStr">
        <is>
          <t>Neutral Throw, Down Throw, Up Throw, Spin Throw</t>
        </is>
      </c>
      <c r="F1879" s="34" t="n"/>
      <c r="G1879" s="34" t="n"/>
      <c r="H1879" s="34" t="n"/>
      <c r="I1879" s="34" t="n"/>
      <c r="J1879" s="16" t="n"/>
    </row>
    <row r="1880">
      <c r="A1880" s="43" t="n"/>
      <c r="B1880" s="44" t="n"/>
      <c r="C1880" s="43" t="n"/>
      <c r="D1880" s="19" t="inlineStr">
        <is>
          <t>Other Required:</t>
        </is>
      </c>
      <c r="E1880" s="35" t="inlineStr">
        <is>
          <t>Capture</t>
        </is>
      </c>
      <c r="F1880" s="35" t="n"/>
      <c r="G1880" s="35" t="n"/>
      <c r="H1880" s="35" t="n"/>
      <c r="I1880" s="35" t="n"/>
      <c r="J1880" s="16" t="n"/>
    </row>
    <row r="1881">
      <c r="A1881" s="41" t="b">
        <v>1</v>
      </c>
      <c r="B1881" s="31" t="inlineStr">
        <is>
          <t>Bowser's Kingdom: Hidden Corridor Under the Floor</t>
        </is>
      </c>
      <c r="C1881" s="35" t="n"/>
      <c r="D1881" s="12" t="inlineStr">
        <is>
          <t>Minimum Jump Height:</t>
        </is>
      </c>
      <c r="E1881" s="34" t="inlineStr">
        <is>
          <t>Long Jump</t>
        </is>
      </c>
      <c r="F1881" s="34" t="n"/>
      <c r="G1881" s="34" t="n"/>
      <c r="H1881" s="34" t="n"/>
      <c r="I1881" s="34" t="n"/>
      <c r="J1881" s="16" t="n"/>
    </row>
    <row r="1882">
      <c r="B1882" s="42" t="n"/>
      <c r="D1882" s="12" t="inlineStr">
        <is>
          <t>Cap Throws that work:</t>
        </is>
      </c>
      <c r="E1882" s="34" t="inlineStr">
        <is>
          <t>Neutral Throw, Up Throw, Down Throw, Spin Throw</t>
        </is>
      </c>
      <c r="F1882" s="34" t="n"/>
      <c r="G1882" s="34" t="n"/>
      <c r="H1882" s="34" t="n"/>
      <c r="I1882" s="34" t="n"/>
      <c r="J1882" s="16" t="n"/>
    </row>
    <row r="1883">
      <c r="A1883" s="43" t="n"/>
      <c r="B1883" s="44" t="n"/>
      <c r="C1883" s="43" t="n"/>
      <c r="D1883" s="19" t="inlineStr">
        <is>
          <t>Other Required:</t>
        </is>
      </c>
      <c r="E1883" s="35" t="inlineStr">
        <is>
          <t>None</t>
        </is>
      </c>
      <c r="F1883" s="35" t="n"/>
      <c r="G1883" s="35" t="n"/>
      <c r="H1883" s="35" t="n"/>
      <c r="I1883" s="35" t="n"/>
      <c r="J1883" s="16" t="n"/>
    </row>
    <row r="1884">
      <c r="A1884" s="41" t="b">
        <v>1</v>
      </c>
      <c r="B1884" s="31" t="inlineStr">
        <is>
          <t>Bowser's Kingdom: Poking Your Nose in the Plaster Wall</t>
        </is>
      </c>
      <c r="C1884" s="35" t="inlineStr">
        <is>
          <t>Pokio</t>
        </is>
      </c>
      <c r="D1884" s="12" t="inlineStr">
        <is>
          <t>Minimum Jump Height:</t>
        </is>
      </c>
      <c r="E1884" s="34" t="inlineStr">
        <is>
          <t>Single Jump (258)</t>
        </is>
      </c>
      <c r="F1884" s="34" t="n"/>
      <c r="G1884" s="34" t="n"/>
      <c r="H1884" s="34" t="n"/>
      <c r="I1884" s="34" t="n"/>
      <c r="J1884" s="16" t="n"/>
    </row>
    <row r="1885">
      <c r="B1885" s="42" t="n"/>
      <c r="D1885" s="12" t="inlineStr">
        <is>
          <t>Cap Throws that work:</t>
        </is>
      </c>
      <c r="E1885" s="34" t="inlineStr">
        <is>
          <t>Neutral Throw, Up Throw, Down Throw, Spin Throw</t>
        </is>
      </c>
      <c r="F1885" s="34" t="n"/>
      <c r="G1885" s="34" t="n"/>
      <c r="H1885" s="34" t="n"/>
      <c r="I1885" s="34" t="n"/>
      <c r="J1885" s="16" t="n"/>
    </row>
    <row r="1886">
      <c r="A1886" s="43" t="n"/>
      <c r="B1886" s="44" t="n"/>
      <c r="C1886" s="43" t="n"/>
      <c r="D1886" s="19" t="inlineStr">
        <is>
          <t>Other Required:</t>
        </is>
      </c>
      <c r="E1886" s="35" t="inlineStr">
        <is>
          <t>Capture</t>
        </is>
      </c>
      <c r="F1886" s="35" t="n"/>
      <c r="G1886" s="35" t="n"/>
      <c r="H1886" s="35" t="n"/>
      <c r="I1886" s="35" t="n"/>
      <c r="J1886" s="16" t="n"/>
    </row>
    <row r="1887">
      <c r="A1887" s="41" t="b">
        <v>1</v>
      </c>
      <c r="B1887" s="31" t="inlineStr">
        <is>
          <t>Bowser's Kingdom: Poking the Turret Wall</t>
        </is>
      </c>
      <c r="C1887" s="35" t="inlineStr">
        <is>
          <t>Pokio</t>
        </is>
      </c>
      <c r="D1887" s="12" t="inlineStr">
        <is>
          <t>Minimum Jump Height:</t>
        </is>
      </c>
      <c r="E1887" s="34" t="inlineStr">
        <is>
          <t>Long Jump</t>
        </is>
      </c>
      <c r="F1887" s="34" t="n"/>
      <c r="G1887" s="34" t="n"/>
      <c r="H1887" s="34" t="n"/>
      <c r="I1887" s="34" t="n"/>
      <c r="J1887" s="16" t="n"/>
    </row>
    <row r="1888">
      <c r="B1888" s="42" t="n"/>
      <c r="D1888" s="12" t="inlineStr">
        <is>
          <t>Cap Throws that work:</t>
        </is>
      </c>
      <c r="E1888" s="34" t="inlineStr">
        <is>
          <t>Neutral Throw, Up Throw, Down Throw, Spin Throw</t>
        </is>
      </c>
      <c r="F1888" s="34" t="n"/>
      <c r="G1888" s="34" t="n"/>
      <c r="H1888" s="34" t="n"/>
      <c r="I1888" s="34" t="n"/>
      <c r="J1888" s="16" t="n"/>
    </row>
    <row r="1889">
      <c r="A1889" s="43" t="n"/>
      <c r="B1889" s="44" t="n"/>
      <c r="C1889" s="43" t="n"/>
      <c r="D1889" s="19" t="inlineStr">
        <is>
          <t>Other Required:</t>
        </is>
      </c>
      <c r="E1889" s="35" t="inlineStr">
        <is>
          <t>Capture</t>
        </is>
      </c>
      <c r="F1889" s="35" t="n"/>
      <c r="G1889" s="35" t="n"/>
      <c r="H1889" s="35" t="n"/>
      <c r="I1889" s="35" t="n"/>
      <c r="J1889" s="16" t="n"/>
    </row>
    <row r="1890">
      <c r="A1890" s="41" t="b">
        <v>1</v>
      </c>
      <c r="B1890" s="31" t="inlineStr">
        <is>
          <t>Bowser's Kingdom: Poking Your Nose by the Great Gate</t>
        </is>
      </c>
      <c r="C1890" s="35" t="inlineStr">
        <is>
          <t>Pokio</t>
        </is>
      </c>
      <c r="D1890" s="12" t="inlineStr">
        <is>
          <t>Minimum Jump Height:</t>
        </is>
      </c>
      <c r="E1890" s="34" t="inlineStr">
        <is>
          <t>Long Jump</t>
        </is>
      </c>
      <c r="F1890" s="34" t="n"/>
      <c r="G1890" s="34" t="n"/>
      <c r="H1890" s="34" t="n"/>
      <c r="I1890" s="34" t="n"/>
      <c r="J1890" s="16" t="n"/>
    </row>
    <row r="1891">
      <c r="B1891" s="42" t="n"/>
      <c r="D1891" s="12" t="inlineStr">
        <is>
          <t>Cap Throws that work:</t>
        </is>
      </c>
      <c r="E1891" s="34" t="inlineStr">
        <is>
          <t>Neutral Throw, Up Throw, Down Throw, Spin Throw</t>
        </is>
      </c>
      <c r="F1891" s="34" t="n"/>
      <c r="G1891" s="34" t="n"/>
      <c r="H1891" s="34" t="n"/>
      <c r="I1891" s="34" t="n"/>
      <c r="J1891" s="16" t="n"/>
    </row>
    <row r="1892">
      <c r="A1892" s="43" t="n"/>
      <c r="B1892" s="44" t="n"/>
      <c r="C1892" s="43" t="n"/>
      <c r="D1892" s="19" t="inlineStr">
        <is>
          <t>Other Required:</t>
        </is>
      </c>
      <c r="E1892" s="35" t="inlineStr">
        <is>
          <t>Capture</t>
        </is>
      </c>
      <c r="F1892" s="35" t="n"/>
      <c r="G1892" s="35" t="n"/>
      <c r="H1892" s="35" t="n"/>
      <c r="I1892" s="35" t="n"/>
      <c r="J1892" s="16" t="n"/>
    </row>
    <row r="1893">
      <c r="A1893" s="41" t="b">
        <v>1</v>
      </c>
      <c r="B1893" s="31" t="inlineStr">
        <is>
          <t>Bowser's Kingdom: Jizo All in a Row</t>
        </is>
      </c>
      <c r="C1893" s="35" t="inlineStr">
        <is>
          <t>Jizo</t>
        </is>
      </c>
      <c r="D1893" s="12" t="inlineStr">
        <is>
          <t>Minimum Jump Height:</t>
        </is>
      </c>
      <c r="E1893" s="34" t="inlineStr">
        <is>
          <t>Long Jump</t>
        </is>
      </c>
      <c r="F1893" s="34" t="n"/>
      <c r="G1893" s="34" t="n"/>
      <c r="H1893" s="34" t="n"/>
      <c r="I1893" s="34" t="n"/>
      <c r="J1893" s="16" t="n"/>
    </row>
    <row r="1894">
      <c r="B1894" s="42" t="n"/>
      <c r="D1894" s="12" t="inlineStr">
        <is>
          <t>Cap Throws that work:</t>
        </is>
      </c>
      <c r="E1894" s="34" t="inlineStr">
        <is>
          <t>Neutral Throw, Up Throw, Down Throw, Spin Throw</t>
        </is>
      </c>
      <c r="F1894" s="34" t="n"/>
      <c r="G1894" s="34" t="n"/>
      <c r="H1894" s="34" t="n"/>
      <c r="I1894" s="34" t="n"/>
      <c r="J1894" s="16" t="n"/>
    </row>
    <row r="1895">
      <c r="A1895" s="43" t="n"/>
      <c r="B1895" s="44" t="n"/>
      <c r="C1895" s="43" t="n"/>
      <c r="D1895" s="19" t="inlineStr">
        <is>
          <t>Other Required:</t>
        </is>
      </c>
      <c r="E1895" s="35" t="inlineStr">
        <is>
          <t>Capture</t>
        </is>
      </c>
      <c r="F1895" s="35" t="n"/>
      <c r="G1895" s="35" t="n"/>
      <c r="H1895" s="35" t="n"/>
      <c r="I1895" s="35" t="n"/>
      <c r="J1895" s="16" t="n"/>
    </row>
    <row r="1896">
      <c r="A1896" s="41" t="b">
        <v>1</v>
      </c>
      <c r="B1896" s="31" t="inlineStr">
        <is>
          <t>Bowser's Kingdom: Underground Jizo</t>
        </is>
      </c>
      <c r="C1896" s="35" t="inlineStr">
        <is>
          <t>Jizo</t>
        </is>
      </c>
      <c r="D1896" s="12" t="inlineStr">
        <is>
          <t>Minimum Jump Height:</t>
        </is>
      </c>
      <c r="E1896" s="34" t="inlineStr">
        <is>
          <t>Long Jump</t>
        </is>
      </c>
      <c r="F1896" s="34" t="n"/>
      <c r="G1896" s="34" t="n"/>
      <c r="H1896" s="34" t="n"/>
      <c r="I1896" s="34" t="n"/>
      <c r="J1896" s="16" t="n"/>
    </row>
    <row r="1897">
      <c r="B1897" s="42" t="n"/>
      <c r="D1897" s="12" t="inlineStr">
        <is>
          <t>Cap Throws that work:</t>
        </is>
      </c>
      <c r="E1897" s="34" t="inlineStr">
        <is>
          <t>Neutral Throw, Up Throw, Down Throw, Spin Throw</t>
        </is>
      </c>
      <c r="F1897" s="34" t="n"/>
      <c r="G1897" s="34" t="n"/>
      <c r="H1897" s="34" t="n"/>
      <c r="I1897" s="34" t="n"/>
      <c r="J1897" s="16" t="n"/>
    </row>
    <row r="1898">
      <c r="A1898" s="43" t="n"/>
      <c r="B1898" s="44" t="n"/>
      <c r="C1898" s="43" t="n"/>
      <c r="D1898" s="19" t="inlineStr">
        <is>
          <t>Other Required:</t>
        </is>
      </c>
      <c r="E1898" s="35" t="inlineStr">
        <is>
          <t>Capture</t>
        </is>
      </c>
      <c r="F1898" s="35" t="n"/>
      <c r="G1898" s="35" t="n"/>
      <c r="H1898" s="35" t="n"/>
      <c r="I1898" s="35" t="n"/>
      <c r="J1898" s="16" t="n"/>
    </row>
    <row r="1899">
      <c r="A1899" s="41" t="b">
        <v>1</v>
      </c>
      <c r="B1899" s="31" t="inlineStr">
        <is>
          <t>Bowser's Kingdom: Found Behind Bars!</t>
        </is>
      </c>
      <c r="C1899" s="35" t="n"/>
      <c r="D1899" s="12" t="inlineStr">
        <is>
          <t>Minimum Jump Height:</t>
        </is>
      </c>
      <c r="E1899" s="34" t="inlineStr">
        <is>
          <t>Long Jump</t>
        </is>
      </c>
      <c r="F1899" s="34" t="n"/>
      <c r="G1899" s="34" t="n"/>
      <c r="H1899" s="34" t="n"/>
      <c r="I1899" s="34" t="n"/>
      <c r="J1899" s="16" t="n"/>
    </row>
    <row r="1900">
      <c r="B1900" s="42" t="n"/>
      <c r="D1900" s="12" t="inlineStr">
        <is>
          <t>Cap Throws that work:</t>
        </is>
      </c>
      <c r="E1900" s="34" t="inlineStr">
        <is>
          <t>Neutral Throw, Up Throw, Down Throw, Spin Throw</t>
        </is>
      </c>
      <c r="F1900" s="34" t="n"/>
      <c r="G1900" s="34" t="n"/>
      <c r="H1900" s="34" t="n"/>
      <c r="I1900" s="34" t="n"/>
      <c r="J1900" s="16" t="n"/>
    </row>
    <row r="1901">
      <c r="A1901" s="43" t="n"/>
      <c r="B1901" s="44" t="n"/>
      <c r="C1901" s="43" t="n"/>
      <c r="D1901" s="19" t="inlineStr">
        <is>
          <t>Other Required:</t>
        </is>
      </c>
      <c r="E1901" s="35" t="inlineStr">
        <is>
          <t>Capture</t>
        </is>
      </c>
      <c r="F1901" s="35" t="n"/>
      <c r="G1901" s="35" t="n"/>
      <c r="H1901" s="35" t="n"/>
      <c r="I1901" s="35" t="n"/>
      <c r="J1901" s="16" t="n"/>
    </row>
    <row r="1902">
      <c r="A1902" s="41" t="b">
        <v>1</v>
      </c>
      <c r="B1902" s="31" t="inlineStr">
        <is>
          <t>Bowser's Kingdom: Fishing(?) in Bowser's Castle</t>
        </is>
      </c>
      <c r="C1902" s="35" t="inlineStr">
        <is>
          <t>Lakitu</t>
        </is>
      </c>
      <c r="D1902" s="12" t="inlineStr">
        <is>
          <t>Minimum Jump Height:</t>
        </is>
      </c>
      <c r="E1902" s="34" t="inlineStr">
        <is>
          <t>Long Jump</t>
        </is>
      </c>
      <c r="F1902" s="34" t="n"/>
      <c r="G1902" s="34" t="n"/>
      <c r="H1902" s="34" t="n"/>
      <c r="I1902" s="34" t="n"/>
      <c r="J1902" s="16" t="n"/>
    </row>
    <row r="1903">
      <c r="B1903" s="42" t="n"/>
      <c r="D1903" s="12" t="inlineStr">
        <is>
          <t>Cap Throws that work:</t>
        </is>
      </c>
      <c r="E1903" s="34" t="inlineStr">
        <is>
          <t>Neutral Throw, Up Throw, Down Throw, Spin Throw</t>
        </is>
      </c>
      <c r="F1903" s="34" t="n"/>
      <c r="G1903" s="34" t="n"/>
      <c r="H1903" s="34" t="n"/>
      <c r="I1903" s="34" t="n"/>
      <c r="J1903" s="16" t="n"/>
    </row>
    <row r="1904">
      <c r="A1904" s="43" t="n"/>
      <c r="B1904" s="44" t="n"/>
      <c r="C1904" s="43" t="n"/>
      <c r="D1904" s="19" t="inlineStr">
        <is>
          <t>Other Required:</t>
        </is>
      </c>
      <c r="E1904" s="35" t="inlineStr">
        <is>
          <t>Capture</t>
        </is>
      </c>
      <c r="F1904" s="35" t="n"/>
      <c r="G1904" s="35" t="n"/>
      <c r="H1904" s="35" t="n"/>
      <c r="I1904" s="35" t="n"/>
      <c r="J1904" s="16" t="n"/>
    </row>
    <row r="1905">
      <c r="A1905" s="41" t="b">
        <v>1</v>
      </c>
      <c r="B1905" s="31" t="inlineStr">
        <is>
          <t>Bowser's Kingdom: Good to See You, Captain Toad!</t>
        </is>
      </c>
      <c r="C1905" s="35" t="n"/>
      <c r="D1905" s="12" t="inlineStr">
        <is>
          <t>Minimum Jump Height:</t>
        </is>
      </c>
      <c r="E1905" s="34" t="inlineStr">
        <is>
          <t>Long Jump</t>
        </is>
      </c>
      <c r="F1905" s="34" t="n"/>
      <c r="G1905" s="34" t="n"/>
      <c r="H1905" s="34" t="n"/>
      <c r="I1905" s="34" t="n"/>
      <c r="J1905" s="16" t="n"/>
    </row>
    <row r="1906">
      <c r="B1906" s="42" t="n"/>
      <c r="D1906" s="12" t="inlineStr">
        <is>
          <t>Cap Throws that work:</t>
        </is>
      </c>
      <c r="E1906" s="34" t="inlineStr">
        <is>
          <t>Neutral Throw, Up Throw, Down Throw, Spin Throw</t>
        </is>
      </c>
      <c r="F1906" s="34" t="n"/>
      <c r="G1906" s="34" t="n"/>
      <c r="H1906" s="34" t="n"/>
      <c r="I1906" s="34" t="n"/>
      <c r="J1906" s="16" t="n"/>
    </row>
    <row r="1907">
      <c r="A1907" s="43" t="n"/>
      <c r="B1907" s="44" t="n"/>
      <c r="C1907" s="43" t="n"/>
      <c r="D1907" s="19" t="inlineStr">
        <is>
          <t>Other Required:</t>
        </is>
      </c>
      <c r="E1907" s="35" t="inlineStr">
        <is>
          <t>None</t>
        </is>
      </c>
      <c r="F1907" s="35" t="n"/>
      <c r="G1907" s="35" t="n"/>
      <c r="H1907" s="35" t="n"/>
      <c r="I1907" s="35" t="n"/>
      <c r="J1907" s="16" t="n"/>
    </row>
    <row r="1908">
      <c r="A1908" s="41" t="b">
        <v>1</v>
      </c>
      <c r="B1908" s="31" t="inlineStr">
        <is>
          <t>Crazy Cap Store (Bowser's): Shopping at Bowser's Castle</t>
        </is>
      </c>
      <c r="C1908" s="35" t="n"/>
      <c r="D1908" s="12" t="inlineStr">
        <is>
          <t>Minimum Jump Height:</t>
        </is>
      </c>
      <c r="E1908" s="34" t="inlineStr">
        <is>
          <t>No Jump Needed</t>
        </is>
      </c>
      <c r="F1908" s="34" t="n"/>
      <c r="G1908" s="34" t="n"/>
      <c r="H1908" s="34" t="n"/>
      <c r="I1908" s="34" t="n"/>
      <c r="J1908" s="16" t="n"/>
    </row>
    <row r="1909">
      <c r="B1909" s="42" t="n"/>
      <c r="D1909" s="12" t="inlineStr">
        <is>
          <t>Cap Throws that work:</t>
        </is>
      </c>
      <c r="E1909" s="34" t="inlineStr">
        <is>
          <t>No Cap Throw Needed</t>
        </is>
      </c>
      <c r="F1909" s="34" t="n"/>
      <c r="G1909" s="34" t="n"/>
      <c r="H1909" s="34" t="n"/>
      <c r="I1909" s="34" t="n"/>
      <c r="J1909" s="16" t="n"/>
    </row>
    <row r="1910">
      <c r="A1910" s="43" t="n"/>
      <c r="B1910" s="44" t="n"/>
      <c r="C1910" s="43" t="n"/>
      <c r="D1910" s="19" t="inlineStr">
        <is>
          <t>Other Required:</t>
        </is>
      </c>
      <c r="E1910" s="35" t="inlineStr">
        <is>
          <t>None</t>
        </is>
      </c>
      <c r="F1910" s="35" t="n"/>
      <c r="G1910" s="35" t="n"/>
      <c r="H1910" s="35" t="n"/>
      <c r="I1910" s="35" t="n"/>
      <c r="J1910" s="16" t="n"/>
    </row>
    <row r="1911">
      <c r="A1911" s="41" t="b">
        <v>1</v>
      </c>
      <c r="B1911" s="31" t="inlineStr">
        <is>
          <t>Bowser's Kingdom Treasure Vault: Bowser's Castle Treasure Vault</t>
        </is>
      </c>
      <c r="C1911" s="35" t="n"/>
      <c r="D1911" s="12" t="inlineStr">
        <is>
          <t>Minimum Jump Height:</t>
        </is>
      </c>
      <c r="E1911" s="34" t="inlineStr">
        <is>
          <t>Long Jump</t>
        </is>
      </c>
      <c r="F1911" s="34" t="n"/>
      <c r="G1911" s="34" t="n"/>
      <c r="H1911" s="34" t="n"/>
      <c r="I1911" s="34" t="n"/>
      <c r="J1911" s="16" t="n"/>
    </row>
    <row r="1912">
      <c r="B1912" s="42" t="n"/>
      <c r="D1912" s="12" t="inlineStr">
        <is>
          <t>Cap Throws that work:</t>
        </is>
      </c>
      <c r="E1912" s="34" t="inlineStr">
        <is>
          <t>Neutral Throw, Up Throw, Down Throw, Spin Throw</t>
        </is>
      </c>
      <c r="F1912" s="34" t="n"/>
      <c r="G1912" s="34" t="n"/>
      <c r="H1912" s="34" t="n"/>
      <c r="I1912" s="34" t="n"/>
      <c r="J1912" s="16" t="n"/>
    </row>
    <row r="1913">
      <c r="A1913" s="43" t="n"/>
      <c r="B1913" s="44" t="n"/>
      <c r="C1913" s="43" t="n"/>
      <c r="D1913" s="19" t="inlineStr">
        <is>
          <t>Other Required:</t>
        </is>
      </c>
      <c r="E1913" s="35" t="inlineStr">
        <is>
          <t>None</t>
        </is>
      </c>
      <c r="F1913" s="35" t="n"/>
      <c r="G1913" s="35" t="n"/>
      <c r="H1913" s="35" t="n"/>
      <c r="I1913" s="35" t="n"/>
      <c r="J1913" s="16" t="n"/>
    </row>
    <row r="1914">
      <c r="A1914" s="41" t="b">
        <v>1</v>
      </c>
      <c r="B1914" s="31" t="inlineStr">
        <is>
          <t>Scene in the Folding Screen: Scene of Crossing the Poison Swamp</t>
        </is>
      </c>
      <c r="C1914" s="35" t="n"/>
      <c r="D1914" s="12" t="inlineStr">
        <is>
          <t>Minimum Jump Height:</t>
        </is>
      </c>
      <c r="E1914" s="34" t="inlineStr">
        <is>
          <t>Long Jump</t>
        </is>
      </c>
      <c r="F1914" s="34" t="n"/>
      <c r="G1914" s="34" t="n"/>
      <c r="H1914" s="34" t="n"/>
      <c r="I1914" s="34" t="n"/>
      <c r="J1914" s="16" t="n"/>
    </row>
    <row r="1915">
      <c r="B1915" s="42" t="n"/>
      <c r="D1915" s="12" t="inlineStr">
        <is>
          <t>Cap Throws that work:</t>
        </is>
      </c>
      <c r="E1915" s="34" t="inlineStr">
        <is>
          <t>No Cap Throw Needed</t>
        </is>
      </c>
      <c r="F1915" s="34" t="n"/>
      <c r="G1915" s="34" t="n"/>
      <c r="H1915" s="34" t="n"/>
      <c r="I1915" s="34" t="n"/>
      <c r="J1915" s="16" t="n"/>
    </row>
    <row r="1916">
      <c r="A1916" s="43" t="n"/>
      <c r="B1916" s="44" t="n"/>
      <c r="C1916" s="43" t="n"/>
      <c r="D1916" s="19" t="inlineStr">
        <is>
          <t>Other Required:</t>
        </is>
      </c>
      <c r="E1916" s="35" t="inlineStr">
        <is>
          <t>None</t>
        </is>
      </c>
      <c r="F1916" s="35" t="n"/>
      <c r="G1916" s="35" t="n"/>
      <c r="H1916" s="35" t="n"/>
      <c r="I1916" s="35" t="n"/>
      <c r="J1916" s="16" t="n"/>
    </row>
    <row r="1917">
      <c r="A1917" s="41" t="b">
        <v>1</v>
      </c>
      <c r="B1917" s="31" t="inlineStr">
        <is>
          <t>Scene in the Folding Screen: Taking Notes: In the Folding Screen</t>
        </is>
      </c>
      <c r="C1917" s="35" t="n"/>
      <c r="D1917" s="12" t="inlineStr">
        <is>
          <t>Minimum Jump Height:</t>
        </is>
      </c>
      <c r="E1917" s="34" t="inlineStr">
        <is>
          <t>Long Jump</t>
        </is>
      </c>
      <c r="F1917" s="34" t="n"/>
      <c r="G1917" s="34" t="n"/>
      <c r="H1917" s="34" t="n"/>
      <c r="I1917" s="34" t="n"/>
      <c r="J1917" s="16" t="n"/>
    </row>
    <row r="1918">
      <c r="B1918" s="42" t="n"/>
      <c r="D1918" s="12" t="inlineStr">
        <is>
          <t>Cap Throws that work:</t>
        </is>
      </c>
      <c r="E1918" s="34" t="inlineStr">
        <is>
          <t>No Cap Throw Needed</t>
        </is>
      </c>
      <c r="F1918" s="34" t="n"/>
      <c r="G1918" s="34" t="n"/>
      <c r="H1918" s="34" t="n"/>
      <c r="I1918" s="34" t="n"/>
      <c r="J1918" s="16" t="n"/>
    </row>
    <row r="1919">
      <c r="A1919" s="43" t="n"/>
      <c r="B1919" s="44" t="n"/>
      <c r="C1919" s="43" t="n"/>
      <c r="D1919" s="19" t="inlineStr">
        <is>
          <t>Other Required:</t>
        </is>
      </c>
      <c r="E1919" s="35" t="inlineStr">
        <is>
          <t>None</t>
        </is>
      </c>
      <c r="F1919" s="35" t="n"/>
      <c r="G1919" s="35" t="n"/>
      <c r="H1919" s="35" t="n"/>
      <c r="I1919" s="35" t="n"/>
      <c r="J1919" s="16" t="n"/>
    </row>
    <row r="1920">
      <c r="A1920" s="41" t="b">
        <v>1</v>
      </c>
      <c r="B1920" s="31" t="inlineStr">
        <is>
          <t>Spinning Tower: On Top of the Spinning Tower</t>
        </is>
      </c>
      <c r="C1920" s="35" t="inlineStr">
        <is>
          <t>Pokio</t>
        </is>
      </c>
      <c r="D1920" s="12" t="inlineStr">
        <is>
          <t>Minimum Jump Height:</t>
        </is>
      </c>
      <c r="E1920" s="34" t="inlineStr">
        <is>
          <t>No Jump Needed</t>
        </is>
      </c>
      <c r="F1920" s="34" t="n"/>
      <c r="G1920" s="34" t="n"/>
      <c r="H1920" s="34" t="n"/>
      <c r="I1920" s="34" t="n"/>
      <c r="J1920" s="16" t="n"/>
    </row>
    <row r="1921">
      <c r="B1921" s="42" t="n"/>
      <c r="D1921" s="12" t="inlineStr">
        <is>
          <t>Cap Throws that work:</t>
        </is>
      </c>
      <c r="E1921" s="34" t="inlineStr">
        <is>
          <t>Neutral Throw, Up Throw, Down Throw, Spin Throw</t>
        </is>
      </c>
      <c r="F1921" s="34" t="n"/>
      <c r="G1921" s="34" t="n"/>
      <c r="H1921" s="34" t="n"/>
      <c r="I1921" s="34" t="n"/>
      <c r="J1921" s="16" t="n"/>
    </row>
    <row r="1922">
      <c r="A1922" s="43" t="n"/>
      <c r="B1922" s="44" t="n"/>
      <c r="C1922" s="43" t="n"/>
      <c r="D1922" s="19" t="inlineStr">
        <is>
          <t>Other Required:</t>
        </is>
      </c>
      <c r="E1922" s="35" t="inlineStr">
        <is>
          <t>Capture</t>
        </is>
      </c>
      <c r="F1922" s="35" t="n"/>
      <c r="G1922" s="35" t="n"/>
      <c r="H1922" s="35" t="n"/>
      <c r="I1922" s="35" t="n"/>
      <c r="J1922" s="16" t="n"/>
    </row>
    <row r="1923">
      <c r="A1923" s="41" t="b">
        <v>1</v>
      </c>
      <c r="B1923" s="31" t="inlineStr">
        <is>
          <t>Spinning Tower: Down and Up the Spinning Tower</t>
        </is>
      </c>
      <c r="C1923" s="35" t="inlineStr">
        <is>
          <t>Pokio</t>
        </is>
      </c>
      <c r="D1923" s="12" t="inlineStr">
        <is>
          <t>Minimum Jump Height:</t>
        </is>
      </c>
      <c r="E1923" s="34" t="inlineStr">
        <is>
          <t>No Jump Needed</t>
        </is>
      </c>
      <c r="F1923" s="34" t="n"/>
      <c r="G1923" s="34" t="n"/>
      <c r="H1923" s="34" t="n"/>
      <c r="I1923" s="34" t="n"/>
      <c r="J1923" s="16" t="n"/>
    </row>
    <row r="1924">
      <c r="B1924" s="42" t="n"/>
      <c r="D1924" s="12" t="inlineStr">
        <is>
          <t>Cap Throws that work:</t>
        </is>
      </c>
      <c r="E1924" s="34" t="inlineStr">
        <is>
          <t>Neutral Throw, Up Throw, Down Throw, Spin Throw</t>
        </is>
      </c>
      <c r="F1924" s="34" t="n"/>
      <c r="G1924" s="34" t="n"/>
      <c r="H1924" s="34" t="n"/>
      <c r="I1924" s="34" t="n"/>
      <c r="J1924" s="16" t="n"/>
    </row>
    <row r="1925">
      <c r="A1925" s="43" t="n"/>
      <c r="B1925" s="44" t="n"/>
      <c r="C1925" s="43" t="n"/>
      <c r="D1925" s="19" t="inlineStr">
        <is>
          <t>Other Required:</t>
        </is>
      </c>
      <c r="E1925" s="35" t="inlineStr">
        <is>
          <t>Capture</t>
        </is>
      </c>
      <c r="F1925" s="35" t="n"/>
      <c r="G1925" s="35" t="n"/>
      <c r="H1925" s="35" t="n"/>
      <c r="I1925" s="35" t="n"/>
      <c r="J1925" s="16" t="n"/>
    </row>
    <row r="1926">
      <c r="A1926" s="41" t="b">
        <v>1</v>
      </c>
      <c r="B1926" s="31" t="inlineStr">
        <is>
          <t>Jizo's Great Adventure: Jizo's Big Adventure</t>
        </is>
      </c>
      <c r="C1926" s="35" t="inlineStr">
        <is>
          <t>Jizo</t>
        </is>
      </c>
      <c r="D1926" s="12" t="inlineStr">
        <is>
          <t>Minimum Jump Height:</t>
        </is>
      </c>
      <c r="E1926" s="34" t="inlineStr">
        <is>
          <t>Double Jump (312)</t>
        </is>
      </c>
      <c r="F1926" s="34" t="inlineStr">
        <is>
          <t>Long Jump</t>
        </is>
      </c>
      <c r="G1926" s="34" t="inlineStr">
        <is>
          <t>Backflip/Vault/Side Flip (496)</t>
        </is>
      </c>
      <c r="H1926" s="34" t="n"/>
      <c r="I1926" s="34" t="n"/>
      <c r="J1926" s="16" t="n"/>
    </row>
    <row r="1927">
      <c r="B1927" s="42" t="n"/>
      <c r="D1927" s="12" t="inlineStr">
        <is>
          <t>Cap Throws that work:</t>
        </is>
      </c>
      <c r="E1927" s="34" t="inlineStr">
        <is>
          <t>Neutral Throw</t>
        </is>
      </c>
      <c r="F1927" s="34" t="inlineStr">
        <is>
          <t>Neutral Throw, Up Throw, Down Throw, Spin Throw</t>
        </is>
      </c>
      <c r="G1927" s="34" t="inlineStr">
        <is>
          <t>Neutral Throw</t>
        </is>
      </c>
      <c r="H1927" s="34" t="n"/>
      <c r="I1927" s="34" t="n"/>
      <c r="J1927" s="16" t="n"/>
    </row>
    <row r="1928">
      <c r="A1928" s="43" t="n"/>
      <c r="B1928" s="44" t="n"/>
      <c r="C1928" s="43" t="n"/>
      <c r="D1928" s="19" t="inlineStr">
        <is>
          <t>Other Required:</t>
        </is>
      </c>
      <c r="E1928" s="35" t="inlineStr">
        <is>
          <t>Dive, Capture</t>
        </is>
      </c>
      <c r="F1928" s="35" t="inlineStr">
        <is>
          <t>Wall Slide, Capture</t>
        </is>
      </c>
      <c r="G1928" s="35" t="inlineStr">
        <is>
          <t>, Capture</t>
        </is>
      </c>
      <c r="H1928" s="35" t="n"/>
      <c r="I1928" s="35" t="n"/>
      <c r="J1928" s="16" t="n"/>
    </row>
    <row r="1929">
      <c r="A1929" s="41" t="b">
        <v>1</v>
      </c>
      <c r="B1929" s="31" t="inlineStr">
        <is>
          <t>Jizo's Great Adventure: Jizo and the Hidden Room</t>
        </is>
      </c>
      <c r="C1929" s="35" t="inlineStr">
        <is>
          <t>Jizo</t>
        </is>
      </c>
      <c r="D1929" s="12" t="inlineStr">
        <is>
          <t>Minimum Jump Height:</t>
        </is>
      </c>
      <c r="E1929" s="34" t="inlineStr">
        <is>
          <t>Double Jump (312)</t>
        </is>
      </c>
      <c r="F1929" s="34" t="inlineStr">
        <is>
          <t>Long Jump</t>
        </is>
      </c>
      <c r="G1929" s="34" t="inlineStr">
        <is>
          <t>Backflip/Vault/Side Flip (496)</t>
        </is>
      </c>
      <c r="H1929" s="34" t="n"/>
      <c r="I1929" s="34" t="n"/>
      <c r="J1929" s="16" t="n"/>
    </row>
    <row r="1930">
      <c r="B1930" s="42" t="n"/>
      <c r="D1930" s="12" t="inlineStr">
        <is>
          <t>Cap Throws that work:</t>
        </is>
      </c>
      <c r="E1930" s="34" t="inlineStr">
        <is>
          <t>Neutral Throw</t>
        </is>
      </c>
      <c r="F1930" s="34" t="inlineStr">
        <is>
          <t>Neutral Throw, Up Throw, Down Throw, Spin Throw</t>
        </is>
      </c>
      <c r="G1930" s="34" t="inlineStr">
        <is>
          <t>Neutral Throw</t>
        </is>
      </c>
      <c r="H1930" s="34" t="n"/>
      <c r="I1930" s="34" t="n"/>
      <c r="J1930" s="16" t="n"/>
    </row>
    <row r="1931">
      <c r="A1931" s="43" t="n"/>
      <c r="B1931" s="44" t="n"/>
      <c r="C1931" s="43" t="n"/>
      <c r="D1931" s="19" t="inlineStr">
        <is>
          <t>Other Required:</t>
        </is>
      </c>
      <c r="E1931" s="35" t="inlineStr">
        <is>
          <t>Dive, Capture</t>
        </is>
      </c>
      <c r="F1931" s="35" t="inlineStr">
        <is>
          <t>Wall Slide, Capture</t>
        </is>
      </c>
      <c r="G1931" s="35" t="inlineStr">
        <is>
          <t>, Capture</t>
        </is>
      </c>
      <c r="H1931" s="35" t="n"/>
      <c r="I1931" s="35" t="n"/>
      <c r="J1931" s="16" t="n"/>
    </row>
    <row r="1932">
      <c r="A1932" s="41" t="b">
        <v>1</v>
      </c>
      <c r="B1932" s="31" t="inlineStr">
        <is>
          <t>Dashing Above the Clouds: Dashing Above the Clouds</t>
        </is>
      </c>
      <c r="C1932" s="35" t="n"/>
      <c r="D1932" s="12" t="inlineStr">
        <is>
          <t>Minimum Jump Height:</t>
        </is>
      </c>
      <c r="E1932" s="34" t="inlineStr">
        <is>
          <t>Single Jump (258)</t>
        </is>
      </c>
      <c r="F1932" s="34" t="n"/>
      <c r="G1932" s="34" t="n"/>
      <c r="H1932" s="34" t="n"/>
      <c r="I1932" s="34" t="n"/>
      <c r="J1932" s="16" t="n"/>
    </row>
    <row r="1933">
      <c r="B1933" s="42" t="n"/>
      <c r="D1933" s="12" t="inlineStr">
        <is>
          <t>Cap Throws that work:</t>
        </is>
      </c>
      <c r="E1933" s="34" t="inlineStr">
        <is>
          <t>Neutral Throw, Up Throw, Down Throw, Spin Throw</t>
        </is>
      </c>
      <c r="F1933" s="34" t="n"/>
      <c r="G1933" s="34" t="n"/>
      <c r="H1933" s="34" t="n"/>
      <c r="I1933" s="34" t="n"/>
      <c r="J1933" s="16" t="n"/>
    </row>
    <row r="1934">
      <c r="A1934" s="43" t="n"/>
      <c r="B1934" s="44" t="n"/>
      <c r="C1934" s="43" t="n"/>
      <c r="D1934" s="19" t="inlineStr">
        <is>
          <t>Other Required:</t>
        </is>
      </c>
      <c r="E1934" s="35" t="n"/>
      <c r="F1934" s="35" t="n"/>
      <c r="G1934" s="35" t="n"/>
      <c r="H1934" s="35" t="n"/>
      <c r="I1934" s="35" t="n"/>
      <c r="J1934" s="16" t="n"/>
    </row>
    <row r="1935">
      <c r="A1935" s="41" t="b">
        <v>1</v>
      </c>
      <c r="B1935" s="31" t="inlineStr">
        <is>
          <t>Dashing Above the Clouds: Dashing Through the Clouds</t>
        </is>
      </c>
      <c r="C1935" s="35" t="n"/>
      <c r="D1935" s="12" t="inlineStr">
        <is>
          <t>Minimum Jump Height:</t>
        </is>
      </c>
      <c r="E1935" s="34" t="inlineStr">
        <is>
          <t>Single Jump (258)</t>
        </is>
      </c>
      <c r="F1935" s="34" t="n"/>
      <c r="G1935" s="34" t="n"/>
      <c r="H1935" s="34" t="n"/>
      <c r="I1935" s="34" t="n"/>
      <c r="J1935" s="16" t="n"/>
    </row>
    <row r="1936">
      <c r="B1936" s="42" t="n"/>
      <c r="D1936" s="12" t="inlineStr">
        <is>
          <t>Cap Throws that work:</t>
        </is>
      </c>
      <c r="E1936" s="34" t="inlineStr">
        <is>
          <t>Neutral Throw, Up Throw, Down Throw, Spin Throw</t>
        </is>
      </c>
      <c r="F1936" s="34" t="n"/>
      <c r="G1936" s="34" t="n"/>
      <c r="H1936" s="34" t="n"/>
      <c r="I1936" s="34" t="n"/>
      <c r="J1936" s="16" t="n"/>
    </row>
    <row r="1937">
      <c r="A1937" s="43" t="n"/>
      <c r="B1937" s="44" t="n"/>
      <c r="C1937" s="43" t="n"/>
      <c r="D1937" s="19" t="inlineStr">
        <is>
          <t>Other Required:</t>
        </is>
      </c>
      <c r="E1937" s="35" t="inlineStr">
        <is>
          <t>None</t>
        </is>
      </c>
      <c r="F1937" s="35" t="n"/>
      <c r="G1937" s="35" t="n"/>
      <c r="H1937" s="35" t="n"/>
      <c r="I1937" s="35" t="n"/>
      <c r="J1937" s="16" t="n"/>
    </row>
    <row r="1938">
      <c r="A1938" s="41" t="b">
        <v>1</v>
      </c>
      <c r="B1938" s="31" t="inlineStr">
        <is>
          <t>Bowser's Kingdom: Sphynx Over Bowser's Castle</t>
        </is>
      </c>
      <c r="C1938" s="35" t="n"/>
      <c r="D1938" s="12" t="inlineStr">
        <is>
          <t>Minimum Jump Height:</t>
        </is>
      </c>
      <c r="E1938" s="34" t="inlineStr">
        <is>
          <t>Long Jump</t>
        </is>
      </c>
      <c r="F1938" s="34" t="n"/>
      <c r="G1938" s="34" t="n"/>
      <c r="H1938" s="34" t="n"/>
      <c r="I1938" s="34" t="n"/>
      <c r="J1938" s="16" t="n"/>
    </row>
    <row r="1939">
      <c r="B1939" s="42" t="n"/>
      <c r="D1939" s="12" t="inlineStr">
        <is>
          <t>Cap Throws that work:</t>
        </is>
      </c>
      <c r="E1939" s="34" t="inlineStr">
        <is>
          <t>Neutral Throw, Up Throw, Down Throw, Spin Throw</t>
        </is>
      </c>
      <c r="F1939" s="34" t="n"/>
      <c r="G1939" s="34" t="n"/>
      <c r="H1939" s="34" t="n"/>
      <c r="I1939" s="34" t="n"/>
      <c r="J1939" s="16" t="n"/>
    </row>
    <row r="1940">
      <c r="A1940" s="43" t="n"/>
      <c r="B1940" s="44" t="n"/>
      <c r="C1940" s="43" t="n"/>
      <c r="D1940" s="19" t="inlineStr">
        <is>
          <t>Other Required:</t>
        </is>
      </c>
      <c r="E1940" s="35" t="inlineStr">
        <is>
          <t>Capture</t>
        </is>
      </c>
      <c r="F1940" s="35" t="n"/>
      <c r="G1940" s="35" t="n"/>
      <c r="H1940" s="35" t="n"/>
      <c r="I1940" s="35" t="n"/>
      <c r="J1940" s="16" t="n"/>
    </row>
    <row r="1941">
      <c r="A1941" s="41" t="b">
        <v>1</v>
      </c>
      <c r="B1941" s="31" t="inlineStr">
        <is>
          <t>Bowser's Kingdom: I Met a Pokio!</t>
        </is>
      </c>
      <c r="C1941" s="35" t="inlineStr">
        <is>
          <t>Pokio</t>
        </is>
      </c>
      <c r="D1941" s="12" t="inlineStr">
        <is>
          <t>Minimum Jump Height:</t>
        </is>
      </c>
      <c r="E1941" s="34" t="inlineStr">
        <is>
          <t>Long Jump</t>
        </is>
      </c>
      <c r="F1941" s="34" t="n"/>
      <c r="G1941" s="34" t="n"/>
      <c r="H1941" s="34" t="n"/>
      <c r="I1941" s="34" t="n"/>
      <c r="J1941" s="16" t="n"/>
    </row>
    <row r="1942">
      <c r="B1942" s="42" t="n"/>
      <c r="D1942" s="12" t="inlineStr">
        <is>
          <t>Cap Throws that work:</t>
        </is>
      </c>
      <c r="E1942" s="34" t="inlineStr">
        <is>
          <t>Neutral Throw, Up Throw, Down Throw, Spin Throw</t>
        </is>
      </c>
      <c r="F1942" s="34" t="n"/>
      <c r="G1942" s="34" t="n"/>
      <c r="H1942" s="34" t="n"/>
      <c r="I1942" s="34" t="n"/>
      <c r="J1942" s="16" t="n"/>
    </row>
    <row r="1943">
      <c r="A1943" s="43" t="n"/>
      <c r="B1943" s="44" t="n"/>
      <c r="C1943" s="43" t="n"/>
      <c r="D1943" s="19" t="inlineStr">
        <is>
          <t>Other Required:</t>
        </is>
      </c>
      <c r="E1943" s="35" t="inlineStr">
        <is>
          <t>Capture</t>
        </is>
      </c>
      <c r="F1943" s="35" t="n"/>
      <c r="G1943" s="35" t="n"/>
      <c r="H1943" s="35" t="n"/>
      <c r="I1943" s="35" t="n"/>
      <c r="J1943" s="16" t="n"/>
    </row>
    <row r="1944">
      <c r="A1944" s="41" t="b">
        <v>1</v>
      </c>
      <c r="B1944" s="31" t="inlineStr">
        <is>
          <t>Bowser's Kingdom: Bowser's Kingdom Regular Cup</t>
        </is>
      </c>
      <c r="C1944" s="35" t="n"/>
      <c r="D1944" s="12" t="inlineStr">
        <is>
          <t>Minimum Jump Height:</t>
        </is>
      </c>
      <c r="E1944" s="34" t="inlineStr">
        <is>
          <t>Single Jump (258)</t>
        </is>
      </c>
      <c r="F1944" s="34" t="n"/>
      <c r="G1944" s="34" t="n"/>
      <c r="H1944" s="34" t="n"/>
      <c r="I1944" s="34" t="n"/>
      <c r="J1944" s="16" t="n"/>
    </row>
    <row r="1945">
      <c r="B1945" s="42" t="n"/>
      <c r="D1945" s="12" t="inlineStr">
        <is>
          <t>Cap Throws that work:</t>
        </is>
      </c>
      <c r="E1945" s="34" t="inlineStr">
        <is>
          <t>Neutral Throw, Up Throw, Down Throw, Spin Throw</t>
        </is>
      </c>
      <c r="F1945" s="34" t="n"/>
      <c r="G1945" s="34" t="n"/>
      <c r="H1945" s="34" t="n"/>
      <c r="I1945" s="34" t="n"/>
      <c r="J1945" s="16" t="n"/>
    </row>
    <row r="1946">
      <c r="A1946" s="43" t="n"/>
      <c r="B1946" s="44" t="n"/>
      <c r="C1946" s="43" t="n"/>
      <c r="D1946" s="19" t="inlineStr">
        <is>
          <t>Other Required:</t>
        </is>
      </c>
      <c r="E1946" s="35" t="inlineStr">
        <is>
          <t>Capture</t>
        </is>
      </c>
      <c r="F1946" s="35" t="n"/>
      <c r="G1946" s="35" t="n"/>
      <c r="H1946" s="35" t="n"/>
      <c r="I1946" s="35" t="n"/>
      <c r="J1946" s="16" t="n"/>
    </row>
    <row r="1947">
      <c r="A1947" s="41" t="b">
        <v>1</v>
      </c>
      <c r="B1947" s="31" t="inlineStr">
        <is>
          <t>Bowser's Kingdom: A Rumble Under the Arena Floor</t>
        </is>
      </c>
      <c r="C1947" s="35" t="n"/>
      <c r="D1947" s="12" t="inlineStr">
        <is>
          <t>Minimum Jump Height:</t>
        </is>
      </c>
      <c r="E1947" s="34" t="inlineStr">
        <is>
          <t>Long Jump</t>
        </is>
      </c>
      <c r="F1947" s="34" t="n"/>
      <c r="G1947" s="34" t="n"/>
      <c r="H1947" s="34" t="n"/>
      <c r="I1947" s="34" t="n"/>
      <c r="J1947" s="16" t="n"/>
    </row>
    <row r="1948">
      <c r="B1948" s="42" t="n"/>
      <c r="D1948" s="12" t="inlineStr">
        <is>
          <t>Cap Throws that work:</t>
        </is>
      </c>
      <c r="E1948" s="34" t="inlineStr">
        <is>
          <t>Neutral Throw, Up Throw, Down Throw, Spin Throw</t>
        </is>
      </c>
      <c r="F1948" s="34" t="n"/>
      <c r="G1948" s="34" t="n"/>
      <c r="H1948" s="34" t="n"/>
      <c r="I1948" s="34" t="n"/>
      <c r="J1948" s="16" t="n"/>
    </row>
    <row r="1949">
      <c r="A1949" s="43" t="n"/>
      <c r="B1949" s="44" t="n"/>
      <c r="C1949" s="43" t="n"/>
      <c r="D1949" s="19" t="inlineStr">
        <is>
          <t>Other Required:</t>
        </is>
      </c>
      <c r="E1949" s="35" t="inlineStr">
        <is>
          <t>Ground Pound, Capture</t>
        </is>
      </c>
      <c r="F1949" s="35" t="n"/>
      <c r="G1949" s="35" t="n"/>
      <c r="H1949" s="35" t="n"/>
      <c r="I1949" s="35" t="n"/>
      <c r="J1949" s="16" t="n"/>
    </row>
    <row r="1950">
      <c r="A1950" s="41" t="b">
        <v>1</v>
      </c>
      <c r="B1950" s="31" t="inlineStr">
        <is>
          <t>Bowser's Kingdom: Secret Path to Bowser's Castle!</t>
        </is>
      </c>
      <c r="C1950" s="35" t="n"/>
      <c r="D1950" s="12" t="inlineStr">
        <is>
          <t>Minimum Jump Height:</t>
        </is>
      </c>
      <c r="E1950" s="34" t="inlineStr">
        <is>
          <t>Long Jump</t>
        </is>
      </c>
      <c r="F1950" s="34" t="inlineStr">
        <is>
          <t>No Jump Needed</t>
        </is>
      </c>
      <c r="G1950" s="34" t="n"/>
      <c r="H1950" s="34" t="n"/>
      <c r="I1950" s="34" t="n"/>
      <c r="J1950" s="16" t="n"/>
    </row>
    <row r="1951">
      <c r="B1951" s="42" t="n"/>
      <c r="D1951" s="12" t="inlineStr">
        <is>
          <t>Cap Throws that work:</t>
        </is>
      </c>
      <c r="E1951" s="34" t="inlineStr">
        <is>
          <t>No Cap Throw Needed</t>
        </is>
      </c>
      <c r="F1951" s="34" t="inlineStr">
        <is>
          <t>No Cap Throw Needed</t>
        </is>
      </c>
      <c r="G1951" s="34" t="n"/>
      <c r="H1951" s="34" t="n"/>
      <c r="I1951" s="34" t="n"/>
      <c r="J1951" s="16" t="n"/>
    </row>
    <row r="1952">
      <c r="A1952" s="43" t="n"/>
      <c r="B1952" s="44" t="n"/>
      <c r="C1952" s="43" t="n"/>
      <c r="D1952" s="19" t="inlineStr">
        <is>
          <t>Other Required:</t>
        </is>
      </c>
      <c r="E1952" s="35" t="inlineStr">
        <is>
          <t>None</t>
        </is>
      </c>
      <c r="F1952" s="35" t="inlineStr">
        <is>
          <t>Dive</t>
        </is>
      </c>
      <c r="G1952" s="35" t="n"/>
      <c r="H1952" s="35" t="n"/>
      <c r="I1952" s="35" t="n"/>
      <c r="J1952" s="16" t="n"/>
    </row>
    <row r="1953">
      <c r="A1953" s="41" t="b">
        <v>1</v>
      </c>
      <c r="B1953" s="31" t="inlineStr">
        <is>
          <t>Bowser's Kingdom: Peach in Bowser's Kingdom</t>
        </is>
      </c>
      <c r="C1953" s="35" t="n"/>
      <c r="D1953" s="12" t="inlineStr">
        <is>
          <t>Minimum Jump Height:</t>
        </is>
      </c>
      <c r="E1953" s="34" t="inlineStr">
        <is>
          <t>Long Jump</t>
        </is>
      </c>
      <c r="F1953" s="34" t="n"/>
      <c r="G1953" s="34" t="n"/>
      <c r="H1953" s="34" t="n"/>
      <c r="I1953" s="34" t="n"/>
      <c r="J1953" s="16" t="n"/>
    </row>
    <row r="1954">
      <c r="B1954" s="42" t="n"/>
      <c r="D1954" s="12" t="inlineStr">
        <is>
          <t>Cap Throws that work:</t>
        </is>
      </c>
      <c r="E1954" s="34" t="inlineStr">
        <is>
          <t>Neutral Throw, Up Throw, Down Throw, Spin Throw</t>
        </is>
      </c>
      <c r="F1954" s="34" t="n"/>
      <c r="G1954" s="34" t="n"/>
      <c r="H1954" s="34" t="n"/>
      <c r="I1954" s="34" t="n"/>
      <c r="J1954" s="16" t="n"/>
    </row>
    <row r="1955">
      <c r="A1955" s="43" t="n"/>
      <c r="B1955" s="44" t="n"/>
      <c r="C1955" s="43" t="n"/>
      <c r="D1955" s="19" t="inlineStr">
        <is>
          <t>Other Required:</t>
        </is>
      </c>
      <c r="E1955" s="35" t="inlineStr">
        <is>
          <t>Capture</t>
        </is>
      </c>
      <c r="F1955" s="35" t="n"/>
      <c r="G1955" s="35" t="n"/>
      <c r="H1955" s="35" t="n"/>
      <c r="I1955" s="35" t="n"/>
      <c r="J1955" s="16" t="n"/>
    </row>
    <row r="1956">
      <c r="A1956" s="41" t="b">
        <v>1</v>
      </c>
      <c r="B1956" s="31" t="inlineStr">
        <is>
          <t>Bowser's Kingdom: Found with Bowser's Kingdom Art</t>
        </is>
      </c>
      <c r="C1956" s="35" t="n"/>
      <c r="D1956" s="12" t="inlineStr">
        <is>
          <t>Minimum Jump Height:</t>
        </is>
      </c>
      <c r="E1956" s="34" t="inlineStr">
        <is>
          <t>Single Jump (258)</t>
        </is>
      </c>
      <c r="F1956" s="34" t="n"/>
      <c r="G1956" s="34" t="n"/>
      <c r="H1956" s="34" t="n"/>
      <c r="I1956" s="34" t="n"/>
      <c r="J1956" s="16" t="n"/>
    </row>
    <row r="1957">
      <c r="B1957" s="42" t="n"/>
      <c r="D1957" s="12" t="inlineStr">
        <is>
          <t>Cap Throws that work:</t>
        </is>
      </c>
      <c r="E1957" s="34" t="inlineStr">
        <is>
          <t>No Cap Throw Needed</t>
        </is>
      </c>
      <c r="F1957" s="34" t="n"/>
      <c r="G1957" s="34" t="n"/>
      <c r="H1957" s="34" t="n"/>
      <c r="I1957" s="34" t="n"/>
      <c r="J1957" s="16" t="n"/>
    </row>
    <row r="1958">
      <c r="A1958" s="43" t="n"/>
      <c r="B1958" s="44" t="n"/>
      <c r="C1958" s="43" t="n"/>
      <c r="D1958" s="19" t="inlineStr">
        <is>
          <t>Other Required:</t>
        </is>
      </c>
      <c r="E1958" s="35" t="inlineStr">
        <is>
          <t>Ground Pound</t>
        </is>
      </c>
      <c r="F1958" s="35" t="n"/>
      <c r="G1958" s="35" t="n"/>
      <c r="H1958" s="35" t="n"/>
      <c r="I1958" s="35" t="n"/>
      <c r="J1958" s="16" t="n"/>
    </row>
    <row r="1959">
      <c r="A1959" s="41" t="b">
        <v>1</v>
      </c>
      <c r="B1959" s="31" t="inlineStr">
        <is>
          <t>Bowser's Kingdom: Behind the Tall Wall: Poke, Poke!</t>
        </is>
      </c>
      <c r="C1959" s="35" t="inlineStr">
        <is>
          <t>Pokio</t>
        </is>
      </c>
      <c r="D1959" s="12" t="inlineStr">
        <is>
          <t>Minimum Jump Height:</t>
        </is>
      </c>
      <c r="E1959" s="34" t="inlineStr">
        <is>
          <t>Single Jump (258)</t>
        </is>
      </c>
      <c r="F1959" s="34" t="n"/>
      <c r="G1959" s="34" t="n"/>
      <c r="H1959" s="34" t="n"/>
      <c r="I1959" s="34" t="n"/>
      <c r="J1959" s="16" t="n"/>
    </row>
    <row r="1960">
      <c r="B1960" s="42" t="n"/>
      <c r="D1960" s="12" t="inlineStr">
        <is>
          <t>Cap Throws that work:</t>
        </is>
      </c>
      <c r="E1960" s="34" t="inlineStr">
        <is>
          <t>Neutral Throw, Up Throw, Down Throw, Spin Throw</t>
        </is>
      </c>
      <c r="F1960" s="34" t="n"/>
      <c r="G1960" s="34" t="n"/>
      <c r="H1960" s="34" t="n"/>
      <c r="I1960" s="34" t="n"/>
      <c r="J1960" s="16" t="n"/>
    </row>
    <row r="1961">
      <c r="A1961" s="43" t="n"/>
      <c r="B1961" s="44" t="n"/>
      <c r="C1961" s="43" t="n"/>
      <c r="D1961" s="19" t="inlineStr">
        <is>
          <t>Other Required:</t>
        </is>
      </c>
      <c r="E1961" s="35" t="inlineStr">
        <is>
          <t>Capture</t>
        </is>
      </c>
      <c r="F1961" s="35" t="n"/>
      <c r="G1961" s="35" t="n"/>
      <c r="H1961" s="35" t="n"/>
      <c r="I1961" s="35" t="n"/>
      <c r="J1961" s="16" t="n"/>
    </row>
    <row r="1962">
      <c r="A1962" s="41" t="b">
        <v>1</v>
      </c>
      <c r="B1962" s="31" t="inlineStr">
        <is>
          <t>Bowser's Kingdom: From Crates in the Moat</t>
        </is>
      </c>
      <c r="C1962" s="35" t="n"/>
      <c r="D1962" s="12" t="inlineStr">
        <is>
          <t>Minimum Jump Height:</t>
        </is>
      </c>
      <c r="E1962" s="34" t="inlineStr">
        <is>
          <t>Long Jump</t>
        </is>
      </c>
      <c r="F1962" s="34" t="inlineStr">
        <is>
          <t>Long Jump</t>
        </is>
      </c>
      <c r="G1962" s="34" t="n"/>
      <c r="H1962" s="34" t="n"/>
      <c r="I1962" s="34" t="n"/>
      <c r="J1962" s="16" t="n"/>
    </row>
    <row r="1963">
      <c r="B1963" s="42" t="n"/>
      <c r="D1963" s="12" t="inlineStr">
        <is>
          <t>Cap Throws that work:</t>
        </is>
      </c>
      <c r="E1963" s="34" t="inlineStr">
        <is>
          <t>Neutral Throw, Up Throw, Down Throw, Spin Throw</t>
        </is>
      </c>
      <c r="F1963" s="34" t="inlineStr">
        <is>
          <t>No Cap Throw Needed</t>
        </is>
      </c>
      <c r="G1963" s="34" t="n"/>
      <c r="H1963" s="34" t="n"/>
      <c r="I1963" s="34" t="n"/>
      <c r="J1963" s="16" t="n"/>
    </row>
    <row r="1964">
      <c r="A1964" s="43" t="n"/>
      <c r="B1964" s="44" t="n"/>
      <c r="C1964" s="43" t="n"/>
      <c r="D1964" s="19" t="inlineStr">
        <is>
          <t>Other Required:</t>
        </is>
      </c>
      <c r="E1964" s="35" t="inlineStr">
        <is>
          <t>None</t>
        </is>
      </c>
      <c r="F1964" s="35" t="inlineStr">
        <is>
          <t>Ground Pound</t>
        </is>
      </c>
      <c r="G1964" s="35" t="n"/>
      <c r="H1964" s="35" t="n"/>
      <c r="I1964" s="35" t="n"/>
      <c r="J1964" s="16" t="n"/>
    </row>
    <row r="1965">
      <c r="A1965" s="41" t="b">
        <v>1</v>
      </c>
      <c r="B1965" s="31" t="inlineStr">
        <is>
          <t>Bowser's Kingdom: Caught on the Giant Horn</t>
        </is>
      </c>
      <c r="C1965" s="35" t="n"/>
      <c r="D1965" s="12" t="inlineStr">
        <is>
          <t>Minimum Jump Height:</t>
        </is>
      </c>
      <c r="E1965" s="34" t="inlineStr">
        <is>
          <t>Long Jump</t>
        </is>
      </c>
      <c r="F1965" s="34" t="n"/>
      <c r="G1965" s="34" t="n"/>
      <c r="H1965" s="34" t="n"/>
      <c r="I1965" s="34" t="n"/>
      <c r="J1965" s="16" t="n"/>
    </row>
    <row r="1966">
      <c r="B1966" s="42" t="n"/>
      <c r="D1966" s="12" t="inlineStr">
        <is>
          <t>Cap Throws that work:</t>
        </is>
      </c>
      <c r="E1966" s="34" t="inlineStr">
        <is>
          <t>Neutral Throw, Up Throw, Down Throw, Spin Throw</t>
        </is>
      </c>
      <c r="F1966" s="34" t="n"/>
      <c r="G1966" s="34" t="n"/>
      <c r="H1966" s="34" t="n"/>
      <c r="I1966" s="34" t="n"/>
      <c r="J1966" s="16" t="n"/>
    </row>
    <row r="1967">
      <c r="A1967" s="43" t="n"/>
      <c r="B1967" s="44" t="n"/>
      <c r="C1967" s="43" t="n"/>
      <c r="D1967" s="19" t="inlineStr">
        <is>
          <t>Other Required:</t>
        </is>
      </c>
      <c r="E1967" s="35" t="inlineStr">
        <is>
          <t>Capture</t>
        </is>
      </c>
      <c r="F1967" s="35" t="n"/>
      <c r="G1967" s="35" t="n"/>
      <c r="H1967" s="35" t="n"/>
      <c r="I1967" s="35" t="n"/>
      <c r="J1967" s="16" t="n"/>
    </row>
    <row r="1968">
      <c r="A1968" s="41" t="b">
        <v>1</v>
      </c>
      <c r="B1968" s="31" t="inlineStr">
        <is>
          <t>Bowser's Kingdom: Inside a Block at the Gate</t>
        </is>
      </c>
      <c r="C1968" s="35" t="inlineStr">
        <is>
          <t>Pokio</t>
        </is>
      </c>
      <c r="D1968" s="12" t="inlineStr">
        <is>
          <t>Minimum Jump Height:</t>
        </is>
      </c>
      <c r="E1968" s="34" t="inlineStr">
        <is>
          <t>Long Jump</t>
        </is>
      </c>
      <c r="F1968" s="34" t="n"/>
      <c r="G1968" s="34" t="n"/>
      <c r="H1968" s="34" t="n"/>
      <c r="I1968" s="34" t="n"/>
      <c r="J1968" s="16" t="n"/>
    </row>
    <row r="1969">
      <c r="B1969" s="42" t="n"/>
      <c r="D1969" s="12" t="inlineStr">
        <is>
          <t>Cap Throws that work:</t>
        </is>
      </c>
      <c r="E1969" s="34" t="inlineStr">
        <is>
          <t>Neutral Throw, Up Throw, Down Throw, Spin Throw</t>
        </is>
      </c>
      <c r="F1969" s="34" t="n"/>
      <c r="G1969" s="34" t="n"/>
      <c r="H1969" s="34" t="n"/>
      <c r="I1969" s="34" t="n"/>
      <c r="J1969" s="16" t="n"/>
    </row>
    <row r="1970">
      <c r="A1970" s="43" t="n"/>
      <c r="B1970" s="44" t="n"/>
      <c r="C1970" s="43" t="n"/>
      <c r="D1970" s="19" t="inlineStr">
        <is>
          <t>Other Required:</t>
        </is>
      </c>
      <c r="E1970" s="35" t="inlineStr">
        <is>
          <t>Capture</t>
        </is>
      </c>
      <c r="F1970" s="35" t="n"/>
      <c r="G1970" s="35" t="n"/>
      <c r="H1970" s="35" t="n"/>
      <c r="I1970" s="35" t="n"/>
      <c r="J1970" s="16" t="n"/>
    </row>
    <row r="1971">
      <c r="A1971" s="41" t="b">
        <v>1</v>
      </c>
      <c r="B1971" s="31" t="inlineStr">
        <is>
          <t>Bowser's Kingdom: Small Bird in Bowser's Castle</t>
        </is>
      </c>
      <c r="C1971" s="35" t="n"/>
      <c r="D1971" s="12" t="inlineStr">
        <is>
          <t>Minimum Jump Height:</t>
        </is>
      </c>
      <c r="E1971" s="34" t="inlineStr">
        <is>
          <t>Single Jump (258)</t>
        </is>
      </c>
      <c r="F1971" s="34" t="inlineStr">
        <is>
          <t>Backflip/Vault/Side Flip (496)</t>
        </is>
      </c>
      <c r="G1971" s="34" t="inlineStr">
        <is>
          <t>Single Jump (258)</t>
        </is>
      </c>
      <c r="H1971" s="34" t="n"/>
      <c r="I1971" s="34" t="n"/>
      <c r="J1971" s="16" t="n"/>
    </row>
    <row r="1972">
      <c r="B1972" s="42" t="n"/>
      <c r="D1972" s="12" t="inlineStr">
        <is>
          <t>Cap Throws that work:</t>
        </is>
      </c>
      <c r="E1972" s="34" t="inlineStr">
        <is>
          <t>Neutral Throw</t>
        </is>
      </c>
      <c r="F1972" s="34" t="inlineStr">
        <is>
          <t>Neutral Throw, Up Throw, Down Throw, Spin Throw</t>
        </is>
      </c>
      <c r="G1972" s="34" t="inlineStr">
        <is>
          <t>Neutral Throw, Up Throw, Down Throw, Spin Throw</t>
        </is>
      </c>
      <c r="H1972" s="34" t="n"/>
      <c r="I1972" s="34" t="n"/>
      <c r="J1972" s="16" t="n"/>
    </row>
    <row r="1973">
      <c r="A1973" s="43" t="n"/>
      <c r="B1973" s="44" t="n"/>
      <c r="C1973" s="43" t="n"/>
      <c r="D1973" s="19" t="inlineStr">
        <is>
          <t>Other Required:</t>
        </is>
      </c>
      <c r="E1973" s="35" t="n"/>
      <c r="F1973" s="35" t="n"/>
      <c r="G1973" s="35" t="inlineStr">
        <is>
          <t>Capture</t>
        </is>
      </c>
      <c r="H1973" s="35" t="n"/>
      <c r="I1973" s="35" t="n"/>
      <c r="J1973" s="16" t="n"/>
    </row>
    <row r="1974">
      <c r="A1974" s="41" t="b">
        <v>1</v>
      </c>
      <c r="B1974" s="31" t="inlineStr">
        <is>
          <t>Bowser's Kingdom: Invader in Bowser's Castle</t>
        </is>
      </c>
      <c r="C1974" s="35" t="inlineStr">
        <is>
          <t>Goomba</t>
        </is>
      </c>
      <c r="D1974" s="12" t="inlineStr">
        <is>
          <t>Minimum Jump Height:</t>
        </is>
      </c>
      <c r="E1974" s="34" t="inlineStr">
        <is>
          <t>Long Jump</t>
        </is>
      </c>
      <c r="F1974" s="34" t="inlineStr">
        <is>
          <t>Single Jump (258)</t>
        </is>
      </c>
      <c r="G1974" s="34" t="n"/>
      <c r="H1974" s="34" t="n"/>
      <c r="I1974" s="34" t="n"/>
      <c r="J1974" s="16" t="n"/>
    </row>
    <row r="1975">
      <c r="B1975" s="42" t="n"/>
      <c r="D1975" s="12" t="inlineStr">
        <is>
          <t>Cap Throws that work:</t>
        </is>
      </c>
      <c r="E1975" s="34" t="inlineStr">
        <is>
          <t>Neutral Throw, Up Throw, Down Throw, Spin Throw</t>
        </is>
      </c>
      <c r="F1975" s="34" t="inlineStr">
        <is>
          <t>Neutral Throw, Up Throw</t>
        </is>
      </c>
      <c r="G1975" s="34" t="n"/>
      <c r="H1975" s="34" t="n"/>
      <c r="I1975" s="34" t="n"/>
      <c r="J1975" s="16" t="n"/>
    </row>
    <row r="1976">
      <c r="A1976" s="43" t="n"/>
      <c r="B1976" s="44" t="n"/>
      <c r="C1976" s="43" t="n"/>
      <c r="D1976" s="19" t="inlineStr">
        <is>
          <t>Other Required:</t>
        </is>
      </c>
      <c r="E1976" s="35" t="inlineStr">
        <is>
          <t>Capture</t>
        </is>
      </c>
      <c r="F1976" s="35" t="inlineStr">
        <is>
          <t>Dive</t>
        </is>
      </c>
      <c r="G1976" s="35" t="n"/>
      <c r="H1976" s="35" t="n"/>
      <c r="I1976" s="35" t="n"/>
      <c r="J1976" s="16" t="n"/>
    </row>
    <row r="1977">
      <c r="A1977" s="41" t="b">
        <v>1</v>
      </c>
      <c r="B1977" s="31" t="inlineStr">
        <is>
          <t>Bowser's Kingdom: Jumping from Flag to Flag</t>
        </is>
      </c>
      <c r="C1977" s="35" t="n"/>
      <c r="D1977" s="12" t="inlineStr">
        <is>
          <t>Minimum Jump Height:</t>
        </is>
      </c>
      <c r="E1977" s="34" t="inlineStr">
        <is>
          <t>Long Jump</t>
        </is>
      </c>
      <c r="F1977" s="34" t="n"/>
      <c r="G1977" s="34" t="n"/>
      <c r="H1977" s="34" t="n"/>
      <c r="I1977" s="34" t="n"/>
      <c r="J1977" s="16" t="n"/>
    </row>
    <row r="1978">
      <c r="B1978" s="42" t="n"/>
      <c r="D1978" s="12" t="inlineStr">
        <is>
          <t>Cap Throws that work:</t>
        </is>
      </c>
      <c r="E1978" s="34" t="inlineStr">
        <is>
          <t>No Cap Throw Needed</t>
        </is>
      </c>
      <c r="F1978" s="34" t="n"/>
      <c r="G1978" s="34" t="n"/>
      <c r="H1978" s="34" t="n"/>
      <c r="I1978" s="34" t="n"/>
      <c r="J1978" s="16" t="n"/>
    </row>
    <row r="1979">
      <c r="A1979" s="43" t="n"/>
      <c r="B1979" s="44" t="n"/>
      <c r="C1979" s="43" t="n"/>
      <c r="D1979" s="19" t="inlineStr">
        <is>
          <t>Other Required:</t>
        </is>
      </c>
      <c r="E1979" s="35" t="inlineStr">
        <is>
          <t>Climb</t>
        </is>
      </c>
      <c r="F1979" s="35" t="n"/>
      <c r="G1979" s="35" t="n"/>
      <c r="H1979" s="35" t="n"/>
      <c r="I1979" s="35" t="n"/>
      <c r="J1979" s="16" t="n"/>
    </row>
    <row r="1980">
      <c r="A1980" s="41" t="b">
        <v>1</v>
      </c>
      <c r="B1980" s="31" t="inlineStr">
        <is>
          <t>Bowser's Kingdom: Bowser's Kingdom Timer Challenge 2</t>
        </is>
      </c>
      <c r="C1980" s="35" t="n"/>
      <c r="D1980" s="12" t="inlineStr">
        <is>
          <t>Minimum Jump Height:</t>
        </is>
      </c>
      <c r="E1980" s="34" t="inlineStr">
        <is>
          <t>Long Jump</t>
        </is>
      </c>
      <c r="F1980" s="34" t="n"/>
      <c r="G1980" s="34" t="n"/>
      <c r="H1980" s="34" t="n"/>
      <c r="I1980" s="34" t="n"/>
      <c r="J1980" s="16" t="n"/>
    </row>
    <row r="1981">
      <c r="B1981" s="42" t="n"/>
      <c r="D1981" s="12" t="inlineStr">
        <is>
          <t>Cap Throws that work:</t>
        </is>
      </c>
      <c r="E1981" s="34" t="inlineStr">
        <is>
          <t>Neutral Throw, Up Throw, Down Throw, Spin Throw</t>
        </is>
      </c>
      <c r="F1981" s="34" t="n"/>
      <c r="G1981" s="34" t="n"/>
      <c r="H1981" s="34" t="n"/>
      <c r="I1981" s="34" t="n"/>
      <c r="J1981" s="16" t="n"/>
    </row>
    <row r="1982">
      <c r="A1982" s="43" t="n"/>
      <c r="B1982" s="44" t="n"/>
      <c r="C1982" s="43" t="n"/>
      <c r="D1982" s="19" t="inlineStr">
        <is>
          <t>Other Required:</t>
        </is>
      </c>
      <c r="E1982" s="35" t="inlineStr">
        <is>
          <t>None</t>
        </is>
      </c>
      <c r="F1982" s="35" t="n"/>
      <c r="G1982" s="35" t="n"/>
      <c r="H1982" s="35" t="n"/>
      <c r="I1982" s="35" t="n"/>
      <c r="J1982" s="16" t="n"/>
    </row>
    <row r="1983">
      <c r="A1983" s="41" t="b">
        <v>1</v>
      </c>
      <c r="B1983" s="31" t="inlineStr">
        <is>
          <t>Bowser's Kingdom: Taking Notes: On the Wall</t>
        </is>
      </c>
      <c r="C1983" s="35" t="inlineStr">
        <is>
          <t>Pokio</t>
        </is>
      </c>
      <c r="D1983" s="12" t="inlineStr">
        <is>
          <t>Minimum Jump Height:</t>
        </is>
      </c>
      <c r="E1983" s="34" t="inlineStr">
        <is>
          <t>Single Jump (258)</t>
        </is>
      </c>
      <c r="F1983" s="34" t="n"/>
      <c r="G1983" s="34" t="n"/>
      <c r="H1983" s="34" t="n"/>
      <c r="I1983" s="34" t="n"/>
      <c r="J1983" s="16" t="n"/>
    </row>
    <row r="1984">
      <c r="B1984" s="42" t="n"/>
      <c r="D1984" s="12" t="inlineStr">
        <is>
          <t>Cap Throws that work:</t>
        </is>
      </c>
      <c r="E1984" s="34" t="inlineStr">
        <is>
          <t>Neutral Throw, Up Throw, Down Throw, Spin Throw</t>
        </is>
      </c>
      <c r="F1984" s="34" t="n"/>
      <c r="G1984" s="34" t="n"/>
      <c r="H1984" s="34" t="n"/>
      <c r="I1984" s="34" t="n"/>
      <c r="J1984" s="16" t="n"/>
    </row>
    <row r="1985">
      <c r="A1985" s="43" t="n"/>
      <c r="B1985" s="44" t="n"/>
      <c r="C1985" s="43" t="n"/>
      <c r="D1985" s="19" t="inlineStr">
        <is>
          <t>Other Required:</t>
        </is>
      </c>
      <c r="E1985" s="35" t="inlineStr">
        <is>
          <t>Capture</t>
        </is>
      </c>
      <c r="F1985" s="35" t="n"/>
      <c r="G1985" s="35" t="n"/>
      <c r="H1985" s="35" t="n"/>
      <c r="I1985" s="35" t="n"/>
      <c r="J1985" s="16" t="n"/>
    </row>
    <row r="1986">
      <c r="A1986" s="41" t="b">
        <v>1</v>
      </c>
      <c r="B1986" s="31" t="inlineStr">
        <is>
          <t>Bowser's Kingdom: Taking Notes with a Spinning Throw</t>
        </is>
      </c>
      <c r="C1986" s="35" t="n"/>
      <c r="D1986" s="12" t="inlineStr">
        <is>
          <t>Minimum Jump Height:</t>
        </is>
      </c>
      <c r="E1986" s="34" t="inlineStr">
        <is>
          <t>Single Jump (258)</t>
        </is>
      </c>
      <c r="F1986" s="34" t="n"/>
      <c r="G1986" s="34" t="n"/>
      <c r="H1986" s="34" t="n"/>
      <c r="I1986" s="34" t="n"/>
      <c r="J1986" s="16" t="n"/>
    </row>
    <row r="1987">
      <c r="B1987" s="42" t="n"/>
      <c r="D1987" s="12" t="inlineStr">
        <is>
          <t>Cap Throws that work:</t>
        </is>
      </c>
      <c r="E1987" s="34" t="inlineStr">
        <is>
          <t>No Cap Throw Needed</t>
        </is>
      </c>
      <c r="F1987" s="34" t="n"/>
      <c r="G1987" s="34" t="n"/>
      <c r="H1987" s="34" t="n"/>
      <c r="I1987" s="34" t="n"/>
      <c r="J1987" s="16" t="n"/>
    </row>
    <row r="1988">
      <c r="A1988" s="43" t="n"/>
      <c r="B1988" s="44" t="n"/>
      <c r="C1988" s="43" t="n"/>
      <c r="D1988" s="19" t="inlineStr">
        <is>
          <t>Other Required:</t>
        </is>
      </c>
      <c r="E1988" s="35" t="inlineStr">
        <is>
          <t>None</t>
        </is>
      </c>
      <c r="F1988" s="35" t="n"/>
      <c r="G1988" s="35" t="n"/>
      <c r="H1988" s="35" t="n"/>
      <c r="I1988" s="35" t="n"/>
      <c r="J1988" s="16" t="n"/>
    </row>
    <row r="1989">
      <c r="A1989" s="41" t="b">
        <v>1</v>
      </c>
      <c r="B1989" s="31" t="inlineStr">
        <is>
          <t>Bowser's Kingdom: Third Courtyard Outskirts</t>
        </is>
      </c>
      <c r="C1989" s="35" t="n"/>
      <c r="D1989" s="12" t="inlineStr">
        <is>
          <t>Minimum Jump Height:</t>
        </is>
      </c>
      <c r="E1989" s="34" t="inlineStr">
        <is>
          <t>Single Jump (258)</t>
        </is>
      </c>
      <c r="F1989" s="34" t="n"/>
      <c r="G1989" s="34" t="n"/>
      <c r="H1989" s="34" t="n"/>
      <c r="I1989" s="34" t="n"/>
      <c r="J1989" s="16" t="n"/>
    </row>
    <row r="1990">
      <c r="B1990" s="42" t="n"/>
      <c r="D1990" s="12" t="inlineStr">
        <is>
          <t>Cap Throws that work:</t>
        </is>
      </c>
      <c r="E1990" s="34" t="inlineStr">
        <is>
          <t>Neutral Throw, Up Throw, Down Throw, Spin Throw</t>
        </is>
      </c>
      <c r="F1990" s="34" t="n"/>
      <c r="G1990" s="34" t="n"/>
      <c r="H1990" s="34" t="n"/>
      <c r="I1990" s="34" t="n"/>
      <c r="J1990" s="16" t="n"/>
    </row>
    <row r="1991">
      <c r="A1991" s="43" t="n"/>
      <c r="B1991" s="44" t="n"/>
      <c r="C1991" s="43" t="n"/>
      <c r="D1991" s="19" t="inlineStr">
        <is>
          <t>Other Required:</t>
        </is>
      </c>
      <c r="E1991" s="35" t="inlineStr">
        <is>
          <t>Capture</t>
        </is>
      </c>
      <c r="F1991" s="35" t="n"/>
      <c r="G1991" s="35" t="n"/>
      <c r="H1991" s="35" t="n"/>
      <c r="I1991" s="35" t="n"/>
      <c r="J1991" s="16" t="n"/>
    </row>
    <row r="1992">
      <c r="A1992" s="41" t="b">
        <v>1</v>
      </c>
      <c r="B1992" s="31" t="inlineStr">
        <is>
          <t>Bowser's Kingdom: Stone Wall Circuit</t>
        </is>
      </c>
      <c r="C1992" s="35" t="n"/>
      <c r="D1992" s="12" t="inlineStr">
        <is>
          <t>Minimum Jump Height:</t>
        </is>
      </c>
      <c r="E1992" s="34" t="inlineStr">
        <is>
          <t>Single Jump (258)</t>
        </is>
      </c>
      <c r="F1992" s="34" t="n"/>
      <c r="G1992" s="34" t="n"/>
      <c r="H1992" s="34" t="n"/>
      <c r="I1992" s="34" t="n"/>
      <c r="J1992" s="16" t="n"/>
    </row>
    <row r="1993">
      <c r="B1993" s="42" t="n"/>
      <c r="D1993" s="12" t="inlineStr">
        <is>
          <t>Cap Throws that work:</t>
        </is>
      </c>
      <c r="E1993" s="34" t="inlineStr">
        <is>
          <t>Neutral Throw, Up Throw, Down Throw, Spin Throw</t>
        </is>
      </c>
      <c r="F1993" s="34" t="n"/>
      <c r="G1993" s="34" t="n"/>
      <c r="H1993" s="34" t="n"/>
      <c r="I1993" s="34" t="n"/>
      <c r="J1993" s="16" t="n"/>
    </row>
    <row r="1994">
      <c r="A1994" s="43" t="n"/>
      <c r="B1994" s="44" t="n"/>
      <c r="C1994" s="43" t="n"/>
      <c r="D1994" s="19" t="inlineStr">
        <is>
          <t>Other Required:</t>
        </is>
      </c>
      <c r="E1994" s="35" t="inlineStr">
        <is>
          <t>Capture</t>
        </is>
      </c>
      <c r="F1994" s="35" t="n"/>
      <c r="G1994" s="35" t="n"/>
      <c r="H1994" s="35" t="n"/>
      <c r="I1994" s="35" t="n"/>
      <c r="J1994" s="16" t="n"/>
    </row>
    <row r="1995">
      <c r="A1995" s="41" t="b">
        <v>1</v>
      </c>
      <c r="B1995" s="31" t="inlineStr">
        <is>
          <t>Bowser's Kingdom: Bowser's Kingdom Master Cup</t>
        </is>
      </c>
      <c r="C1995" s="35" t="n"/>
      <c r="D1995" s="12" t="inlineStr">
        <is>
          <t>Minimum Jump Height:</t>
        </is>
      </c>
      <c r="E1995" s="34" t="inlineStr">
        <is>
          <t>Long Jump</t>
        </is>
      </c>
      <c r="F1995" s="34" t="inlineStr">
        <is>
          <t>Long Jump</t>
        </is>
      </c>
      <c r="G1995" s="34" t="n"/>
      <c r="H1995" s="34" t="n"/>
      <c r="I1995" s="34" t="n"/>
      <c r="J1995" s="16" t="n"/>
    </row>
    <row r="1996">
      <c r="B1996" s="42" t="n"/>
      <c r="D1996" s="12" t="inlineStr">
        <is>
          <t>Cap Throws that work:</t>
        </is>
      </c>
      <c r="E1996" s="34" t="inlineStr">
        <is>
          <t>Neutral Throw, Up Throw, Down Throw, Spin Throw</t>
        </is>
      </c>
      <c r="F1996" s="34" t="inlineStr">
        <is>
          <t>Neutral Throw, Up Throw, Down Throw, Spin Throw</t>
        </is>
      </c>
      <c r="G1996" s="34" t="n"/>
      <c r="H1996" s="34" t="n"/>
      <c r="I1996" s="34" t="n"/>
      <c r="J1996" s="16" t="n"/>
    </row>
    <row r="1997">
      <c r="A1997" s="43" t="n"/>
      <c r="B1997" s="44" t="n"/>
      <c r="C1997" s="43" t="n"/>
      <c r="D1997" s="19" t="inlineStr">
        <is>
          <t>Other Required:</t>
        </is>
      </c>
      <c r="E1997" s="35" t="inlineStr">
        <is>
          <t>Roll, Capture</t>
        </is>
      </c>
      <c r="F1997" s="35" t="inlineStr">
        <is>
          <t>Dive, Capture</t>
        </is>
      </c>
      <c r="G1997" s="35" t="n"/>
      <c r="H1997" s="35" t="n"/>
      <c r="I1997" s="35" t="n"/>
      <c r="J1997" s="16" t="n"/>
    </row>
    <row r="1998">
      <c r="A1998" s="41" t="b">
        <v>1</v>
      </c>
      <c r="B1998" s="31" t="inlineStr">
        <is>
          <t>Hexagon Tower: Searching Hexagon Tower</t>
        </is>
      </c>
      <c r="C1998" s="35" t="inlineStr">
        <is>
          <t>Parabones</t>
        </is>
      </c>
      <c r="D1998" s="12" t="inlineStr">
        <is>
          <t>Minimum Jump Height:</t>
        </is>
      </c>
      <c r="E1998" s="34" t="inlineStr">
        <is>
          <t>No Jump Needed</t>
        </is>
      </c>
      <c r="F1998" s="34" t="n"/>
      <c r="G1998" s="34" t="n"/>
      <c r="H1998" s="34" t="n"/>
      <c r="I1998" s="34" t="n"/>
      <c r="J1998" s="16" t="n"/>
    </row>
    <row r="1999">
      <c r="B1999" s="42" t="n"/>
      <c r="D1999" s="12" t="inlineStr">
        <is>
          <t>Cap Throws that work:</t>
        </is>
      </c>
      <c r="E1999" s="34" t="inlineStr">
        <is>
          <t>Neutral Throw, Up Throw, Down Throw, Spin Throw</t>
        </is>
      </c>
      <c r="F1999" s="34" t="n"/>
      <c r="G1999" s="34" t="n"/>
      <c r="H1999" s="34" t="n"/>
      <c r="I1999" s="34" t="n"/>
      <c r="J1999" s="16" t="n"/>
    </row>
    <row r="2000">
      <c r="A2000" s="43" t="n"/>
      <c r="B2000" s="44" t="n"/>
      <c r="C2000" s="43" t="n"/>
      <c r="D2000" s="19" t="inlineStr">
        <is>
          <t>Other Required:</t>
        </is>
      </c>
      <c r="E2000" s="35" t="inlineStr">
        <is>
          <t>Capture</t>
        </is>
      </c>
      <c r="F2000" s="35" t="n"/>
      <c r="G2000" s="35" t="n"/>
      <c r="H2000" s="35" t="n"/>
      <c r="I2000" s="35" t="n"/>
      <c r="J2000" s="16" t="n"/>
    </row>
    <row r="2001">
      <c r="A2001" s="41" t="b">
        <v>1</v>
      </c>
      <c r="B2001" s="31" t="inlineStr">
        <is>
          <t>Hexagon Tower: Center of Hexagon Tower</t>
        </is>
      </c>
      <c r="C2001" s="35" t="inlineStr">
        <is>
          <t>Parabones</t>
        </is>
      </c>
      <c r="D2001" s="12" t="inlineStr">
        <is>
          <t>Minimum Jump Height:</t>
        </is>
      </c>
      <c r="E2001" s="34" t="inlineStr">
        <is>
          <t>No Jump Needed</t>
        </is>
      </c>
      <c r="F2001" s="34" t="n"/>
      <c r="G2001" s="34" t="n"/>
      <c r="H2001" s="34" t="n"/>
      <c r="I2001" s="34" t="n"/>
      <c r="J2001" s="16" t="n"/>
    </row>
    <row r="2002">
      <c r="B2002" s="42" t="n"/>
      <c r="D2002" s="12" t="inlineStr">
        <is>
          <t>Cap Throws that work:</t>
        </is>
      </c>
      <c r="E2002" s="34" t="inlineStr">
        <is>
          <t>Neutral Throw, Up Throw, Down Throw, Spin Throw</t>
        </is>
      </c>
      <c r="F2002" s="34" t="n"/>
      <c r="G2002" s="34" t="n"/>
      <c r="H2002" s="34" t="n"/>
      <c r="I2002" s="34" t="n"/>
      <c r="J2002" s="16" t="n"/>
    </row>
    <row r="2003">
      <c r="A2003" s="43" t="n"/>
      <c r="B2003" s="44" t="n"/>
      <c r="C2003" s="43" t="n"/>
      <c r="D2003" s="19" t="inlineStr">
        <is>
          <t>Other Required:</t>
        </is>
      </c>
      <c r="E2003" s="35" t="inlineStr">
        <is>
          <t>Capture</t>
        </is>
      </c>
      <c r="F2003" s="35" t="n"/>
      <c r="G2003" s="35" t="n"/>
      <c r="H2003" s="35" t="n"/>
      <c r="I2003" s="35" t="n"/>
      <c r="J2003" s="16" t="n"/>
    </row>
    <row r="2004">
      <c r="A2004" s="41" t="b">
        <v>1</v>
      </c>
      <c r="B2004" s="31" t="inlineStr">
        <is>
          <t>Wooden Tower: Climb the Wooden Tower</t>
        </is>
      </c>
      <c r="C2004" s="35" t="inlineStr">
        <is>
          <t>Pokio</t>
        </is>
      </c>
      <c r="D2004" s="12" t="inlineStr">
        <is>
          <t>Minimum Jump Height:</t>
        </is>
      </c>
      <c r="E2004" s="34" t="inlineStr">
        <is>
          <t>No Jump Needed</t>
        </is>
      </c>
      <c r="F2004" s="34" t="n"/>
      <c r="G2004" s="34" t="n"/>
      <c r="H2004" s="34" t="n"/>
      <c r="I2004" s="34" t="n"/>
      <c r="J2004" s="16" t="n"/>
    </row>
    <row r="2005">
      <c r="B2005" s="42" t="n"/>
      <c r="D2005" s="12" t="inlineStr">
        <is>
          <t>Cap Throws that work:</t>
        </is>
      </c>
      <c r="E2005" s="34" t="inlineStr">
        <is>
          <t>Neutral Throw, Up Throw, Down Throw, Spin Throw</t>
        </is>
      </c>
      <c r="F2005" s="34" t="n"/>
      <c r="G2005" s="34" t="n"/>
      <c r="H2005" s="34" t="n"/>
      <c r="I2005" s="34" t="n"/>
      <c r="J2005" s="16" t="n"/>
    </row>
    <row r="2006">
      <c r="A2006" s="43" t="n"/>
      <c r="B2006" s="44" t="n"/>
      <c r="C2006" s="43" t="n"/>
      <c r="D2006" s="19" t="inlineStr">
        <is>
          <t>Other Required:</t>
        </is>
      </c>
      <c r="E2006" s="35" t="inlineStr">
        <is>
          <t>Capture</t>
        </is>
      </c>
      <c r="F2006" s="35" t="n"/>
      <c r="G2006" s="35" t="n"/>
      <c r="H2006" s="35" t="n"/>
      <c r="I2006" s="35" t="n"/>
      <c r="J2006" s="16" t="n"/>
    </row>
    <row r="2007">
      <c r="A2007" s="41" t="b">
        <v>1</v>
      </c>
      <c r="B2007" s="31" t="inlineStr">
        <is>
          <t>Wooden Tower: Poke the Wooden Tower</t>
        </is>
      </c>
      <c r="C2007" s="35" t="inlineStr">
        <is>
          <t>Pokio</t>
        </is>
      </c>
      <c r="D2007" s="12" t="inlineStr">
        <is>
          <t>Minimum Jump Height:</t>
        </is>
      </c>
      <c r="E2007" s="34" t="inlineStr">
        <is>
          <t>No Jump Needed</t>
        </is>
      </c>
      <c r="F2007" s="34" t="n"/>
      <c r="G2007" s="34" t="n"/>
      <c r="H2007" s="34" t="n"/>
      <c r="I2007" s="34" t="n"/>
      <c r="J2007" s="16" t="n"/>
    </row>
    <row r="2008">
      <c r="B2008" s="42" t="n"/>
      <c r="D2008" s="12" t="inlineStr">
        <is>
          <t>Cap Throws that work:</t>
        </is>
      </c>
      <c r="E2008" s="34" t="inlineStr">
        <is>
          <t>Neutral Throw, Up Throw, Down Throw, Spin Throw</t>
        </is>
      </c>
      <c r="F2008" s="34" t="n"/>
      <c r="G2008" s="34" t="n"/>
      <c r="H2008" s="34" t="n"/>
      <c r="I2008" s="34" t="n"/>
      <c r="J2008" s="16" t="n"/>
    </row>
    <row r="2009">
      <c r="A2009" s="43" t="n"/>
      <c r="B2009" s="44" t="n"/>
      <c r="C2009" s="43" t="n"/>
      <c r="D2009" s="19" t="inlineStr">
        <is>
          <t>Other Required:</t>
        </is>
      </c>
      <c r="E2009" s="35" t="inlineStr">
        <is>
          <t>Capture</t>
        </is>
      </c>
      <c r="F2009" s="35" t="n"/>
      <c r="G2009" s="35" t="n"/>
      <c r="H2009" s="35" t="n"/>
      <c r="I2009" s="35" t="n"/>
      <c r="J2009" s="16" t="n"/>
    </row>
    <row r="2010">
      <c r="A2010" s="41" t="b">
        <v>1</v>
      </c>
      <c r="B2010" s="31" t="inlineStr">
        <is>
          <t>Moon Kingdom: Shining Above the Moon</t>
        </is>
      </c>
      <c r="C2010" s="35" t="n"/>
      <c r="D2010" s="12" t="inlineStr">
        <is>
          <t>Minimum Jump Height:</t>
        </is>
      </c>
      <c r="E2010" s="34" t="inlineStr">
        <is>
          <t>Single Jump (258)</t>
        </is>
      </c>
      <c r="F2010" s="34" t="inlineStr">
        <is>
          <t>Ground Pound Jump (514)</t>
        </is>
      </c>
      <c r="G2010" s="34" t="n"/>
      <c r="H2010" s="34" t="n"/>
      <c r="I2010" s="34" t="n"/>
      <c r="J2010" s="16" t="n"/>
    </row>
    <row r="2011">
      <c r="B2011" s="42" t="n"/>
      <c r="D2011" s="12" t="inlineStr">
        <is>
          <t>Cap Throws that work:</t>
        </is>
      </c>
      <c r="E2011" s="34" t="inlineStr">
        <is>
          <t>Up Throw</t>
        </is>
      </c>
      <c r="F2011" s="34" t="inlineStr">
        <is>
          <t>Neutral Throw</t>
        </is>
      </c>
      <c r="G2011" s="34" t="n"/>
      <c r="H2011" s="34" t="n"/>
      <c r="I2011" s="34" t="n"/>
      <c r="J2011" s="16" t="n"/>
    </row>
    <row r="2012">
      <c r="A2012" s="43" t="n"/>
      <c r="B2012" s="44" t="n"/>
      <c r="C2012" s="43" t="n"/>
      <c r="D2012" s="19" t="inlineStr">
        <is>
          <t>Other Required:</t>
        </is>
      </c>
      <c r="E2012" s="35" t="n"/>
      <c r="F2012" s="35" t="inlineStr">
        <is>
          <t>Dive</t>
        </is>
      </c>
      <c r="G2012" s="35" t="n"/>
      <c r="H2012" s="35" t="n"/>
      <c r="I2012" s="35" t="n"/>
      <c r="J2012" s="16" t="n"/>
    </row>
    <row r="2013">
      <c r="A2013" s="41" t="b">
        <v>1</v>
      </c>
      <c r="B2013" s="31" t="inlineStr">
        <is>
          <t>Moon Kingdom: Along the Cliff Face</t>
        </is>
      </c>
      <c r="C2013" s="35" t="n"/>
      <c r="D2013" s="12" t="inlineStr">
        <is>
          <t>Minimum Jump Height:</t>
        </is>
      </c>
      <c r="E2013" s="34" t="inlineStr">
        <is>
          <t>Single Jump (258)</t>
        </is>
      </c>
      <c r="F2013" s="34" t="n"/>
      <c r="G2013" s="34" t="n"/>
      <c r="H2013" s="34" t="n"/>
      <c r="I2013" s="34" t="n"/>
      <c r="J2013" s="16" t="n"/>
    </row>
    <row r="2014">
      <c r="B2014" s="42" t="n"/>
      <c r="D2014" s="12" t="inlineStr">
        <is>
          <t>Cap Throws that work:</t>
        </is>
      </c>
      <c r="E2014" s="34" t="inlineStr">
        <is>
          <t>No Cap Throw Needed</t>
        </is>
      </c>
      <c r="F2014" s="34" t="n"/>
      <c r="G2014" s="34" t="n"/>
      <c r="H2014" s="34" t="n"/>
      <c r="I2014" s="34" t="n"/>
      <c r="J2014" s="16" t="n"/>
    </row>
    <row r="2015">
      <c r="A2015" s="43" t="n"/>
      <c r="B2015" s="44" t="n"/>
      <c r="C2015" s="43" t="n"/>
      <c r="D2015" s="19" t="inlineStr">
        <is>
          <t>Other Required:</t>
        </is>
      </c>
      <c r="E2015" s="35" t="inlineStr">
        <is>
          <t>None</t>
        </is>
      </c>
      <c r="F2015" s="35" t="n"/>
      <c r="G2015" s="35" t="n"/>
      <c r="H2015" s="35" t="n"/>
      <c r="I2015" s="35" t="n"/>
      <c r="J2015" s="16" t="n"/>
    </row>
    <row r="2016">
      <c r="A2016" s="41" t="b">
        <v>1</v>
      </c>
      <c r="B2016" s="31" t="inlineStr">
        <is>
          <t>Moon Kingdom: The Tip of a White Spire</t>
        </is>
      </c>
      <c r="C2016" s="35" t="n"/>
      <c r="D2016" s="12" t="inlineStr">
        <is>
          <t>Minimum Jump Height:</t>
        </is>
      </c>
      <c r="E2016" s="34" t="inlineStr">
        <is>
          <t>Single Jump (258)</t>
        </is>
      </c>
      <c r="F2016" s="34" t="n"/>
      <c r="G2016" s="34" t="n"/>
      <c r="H2016" s="34" t="n"/>
      <c r="I2016" s="34" t="n"/>
      <c r="J2016" s="16" t="n"/>
    </row>
    <row r="2017">
      <c r="B2017" s="42" t="n"/>
      <c r="D2017" s="12" t="inlineStr">
        <is>
          <t>Cap Throws that work:</t>
        </is>
      </c>
      <c r="E2017" s="34" t="inlineStr">
        <is>
          <t>Neutral Throw, Up Throw, Down Throw, Spin Throw</t>
        </is>
      </c>
      <c r="F2017" s="34" t="n"/>
      <c r="G2017" s="34" t="n"/>
      <c r="H2017" s="34" t="n"/>
      <c r="I2017" s="34" t="n"/>
      <c r="J2017" s="16" t="n"/>
    </row>
    <row r="2018">
      <c r="A2018" s="43" t="n"/>
      <c r="B2018" s="44" t="n"/>
      <c r="C2018" s="43" t="n"/>
      <c r="D2018" s="19" t="inlineStr">
        <is>
          <t>Other Required:</t>
        </is>
      </c>
      <c r="E2018" s="35" t="inlineStr">
        <is>
          <t>Wall Slide</t>
        </is>
      </c>
      <c r="F2018" s="35" t="n"/>
      <c r="G2018" s="35" t="n"/>
      <c r="H2018" s="35" t="n"/>
      <c r="I2018" s="35" t="n"/>
      <c r="J2018" s="16" t="n"/>
    </row>
    <row r="2019">
      <c r="A2019" s="41" t="b">
        <v>1</v>
      </c>
      <c r="B2019" s="31" t="inlineStr">
        <is>
          <t>Moon Kingdom: Rolling Rock on the Moon</t>
        </is>
      </c>
      <c r="C2019" s="35" t="n"/>
      <c r="D2019" s="12" t="inlineStr">
        <is>
          <t>Minimum Jump Height:</t>
        </is>
      </c>
      <c r="E2019" s="34" t="inlineStr">
        <is>
          <t>No Jump Needed</t>
        </is>
      </c>
      <c r="F2019" s="34" t="n"/>
      <c r="G2019" s="34" t="n"/>
      <c r="H2019" s="34" t="n"/>
      <c r="I2019" s="34" t="n"/>
      <c r="J2019" s="16" t="n"/>
    </row>
    <row r="2020">
      <c r="B2020" s="42" t="n"/>
      <c r="D2020" s="12" t="inlineStr">
        <is>
          <t>Cap Throws that work:</t>
        </is>
      </c>
      <c r="E2020" s="34" t="inlineStr">
        <is>
          <t>No Cap Throw Needed</t>
        </is>
      </c>
      <c r="F2020" s="34" t="n"/>
      <c r="G2020" s="34" t="n"/>
      <c r="H2020" s="34" t="n"/>
      <c r="I2020" s="34" t="n"/>
      <c r="J2020" s="16" t="n"/>
    </row>
    <row r="2021">
      <c r="A2021" s="43" t="n"/>
      <c r="B2021" s="44" t="n"/>
      <c r="C2021" s="43" t="n"/>
      <c r="D2021" s="19" t="inlineStr">
        <is>
          <t>Other Required:</t>
        </is>
      </c>
      <c r="E2021" s="35" t="inlineStr">
        <is>
          <t>None</t>
        </is>
      </c>
      <c r="F2021" s="35" t="n"/>
      <c r="G2021" s="35" t="n"/>
      <c r="H2021" s="35" t="n"/>
      <c r="I2021" s="35" t="n"/>
      <c r="J2021" s="16" t="n"/>
    </row>
    <row r="2022">
      <c r="A2022" s="41" t="b">
        <v>1</v>
      </c>
      <c r="B2022" s="31" t="inlineStr">
        <is>
          <t>Moon Kingdom: Caught Hopping on the Moon!</t>
        </is>
      </c>
      <c r="C2022" s="35" t="n"/>
      <c r="D2022" s="12" t="inlineStr">
        <is>
          <t>Minimum Jump Height:</t>
        </is>
      </c>
      <c r="E2022" s="34" t="inlineStr">
        <is>
          <t>Single Jump (258)</t>
        </is>
      </c>
      <c r="F2022" s="34" t="inlineStr">
        <is>
          <t>Backflip/Vault/Side Flip (496)</t>
        </is>
      </c>
      <c r="G2022" s="34" t="inlineStr">
        <is>
          <t>Long Jump</t>
        </is>
      </c>
      <c r="H2022" s="34" t="n"/>
      <c r="I2022" s="34" t="n"/>
      <c r="J2022" s="16" t="n"/>
    </row>
    <row r="2023">
      <c r="B2023" s="42" t="n"/>
      <c r="D2023" s="12" t="inlineStr">
        <is>
          <t>Cap Throws that work:</t>
        </is>
      </c>
      <c r="E2023" s="34" t="inlineStr">
        <is>
          <t>Neutral Throw, Up Throw, Down Throw, Spin Throw</t>
        </is>
      </c>
      <c r="F2023" s="34" t="inlineStr">
        <is>
          <t>No Cap Throw Needed</t>
        </is>
      </c>
      <c r="G2023" s="34" t="inlineStr">
        <is>
          <t>Neutral Throw</t>
        </is>
      </c>
      <c r="H2023" s="34" t="n"/>
      <c r="I2023" s="34" t="n"/>
      <c r="J2023" s="16" t="n"/>
    </row>
    <row r="2024">
      <c r="A2024" s="43" t="n"/>
      <c r="B2024" s="44" t="n"/>
      <c r="C2024" s="43" t="n"/>
      <c r="D2024" s="19" t="inlineStr">
        <is>
          <t>Other Required:</t>
        </is>
      </c>
      <c r="E2024" s="35" t="inlineStr">
        <is>
          <t>Wall Slide</t>
        </is>
      </c>
      <c r="F2024" s="35" t="inlineStr">
        <is>
          <t>None</t>
        </is>
      </c>
      <c r="G2024" s="35" t="inlineStr">
        <is>
          <t>Dive</t>
        </is>
      </c>
      <c r="H2024" s="35" t="n"/>
      <c r="I2024" s="35" t="n"/>
      <c r="J2024" s="16" t="n"/>
    </row>
    <row r="2025">
      <c r="A2025" s="41" t="b">
        <v>1</v>
      </c>
      <c r="B2025" s="31" t="inlineStr">
        <is>
          <t>Moon Kingdom: Cliffside Treasure Chest</t>
        </is>
      </c>
      <c r="C2025" s="35" t="n"/>
      <c r="D2025" s="12" t="inlineStr">
        <is>
          <t>Minimum Jump Height:</t>
        </is>
      </c>
      <c r="E2025" s="34" t="inlineStr">
        <is>
          <t>Single Jump (258)</t>
        </is>
      </c>
      <c r="F2025" s="34" t="inlineStr">
        <is>
          <t>Long Jump</t>
        </is>
      </c>
      <c r="G2025" s="34" t="inlineStr">
        <is>
          <t>Single Jump (258)</t>
        </is>
      </c>
      <c r="H2025" s="34" t="n"/>
      <c r="I2025" s="34" t="n"/>
      <c r="J2025" s="16" t="n"/>
    </row>
    <row r="2026">
      <c r="B2026" s="42" t="n"/>
      <c r="D2026" s="12" t="inlineStr">
        <is>
          <t>Cap Throws that work:</t>
        </is>
      </c>
      <c r="E2026" s="34" t="inlineStr">
        <is>
          <t>Up Throw, Neutral Throw, Down Throw, Spin Throw</t>
        </is>
      </c>
      <c r="F2026" s="34" t="inlineStr">
        <is>
          <t>Neutral Throw</t>
        </is>
      </c>
      <c r="G2026" s="34" t="inlineStr">
        <is>
          <t>No Cap Throw Needed</t>
        </is>
      </c>
      <c r="H2026" s="34" t="n"/>
      <c r="I2026" s="34" t="n"/>
      <c r="J2026" s="16" t="n"/>
    </row>
    <row r="2027">
      <c r="A2027" s="43" t="n"/>
      <c r="B2027" s="44" t="n"/>
      <c r="C2027" s="43" t="n"/>
      <c r="D2027" s="19" t="inlineStr">
        <is>
          <t>Other Required:</t>
        </is>
      </c>
      <c r="E2027" s="35" t="inlineStr">
        <is>
          <t>None</t>
        </is>
      </c>
      <c r="F2027" s="35" t="inlineStr">
        <is>
          <t>Dive</t>
        </is>
      </c>
      <c r="G2027" s="35" t="inlineStr">
        <is>
          <t>Ground Pound</t>
        </is>
      </c>
      <c r="H2027" s="35" t="n"/>
      <c r="I2027" s="35" t="n"/>
      <c r="J2027" s="16" t="n"/>
    </row>
    <row r="2028">
      <c r="A2028" s="41" t="b">
        <v>1</v>
      </c>
      <c r="B2028" s="31" t="inlineStr">
        <is>
          <t>Moon Kingdom: Moon Kingdom Timer Challenge 1</t>
        </is>
      </c>
      <c r="C2028" s="35" t="n"/>
      <c r="D2028" s="12" t="inlineStr">
        <is>
          <t>Minimum Jump Height:</t>
        </is>
      </c>
      <c r="E2028" s="34" t="inlineStr">
        <is>
          <t>Long Jump</t>
        </is>
      </c>
      <c r="F2028" s="34" t="n"/>
      <c r="G2028" s="34" t="n"/>
      <c r="H2028" s="34" t="n"/>
      <c r="I2028" s="34" t="n"/>
      <c r="J2028" s="16" t="n"/>
    </row>
    <row r="2029">
      <c r="B2029" s="42" t="n"/>
      <c r="D2029" s="12" t="inlineStr">
        <is>
          <t>Cap Throws that work:</t>
        </is>
      </c>
      <c r="E2029" s="34" t="inlineStr">
        <is>
          <t>Neutral Throw, Up Throw, Down Throw, Spin Throw</t>
        </is>
      </c>
      <c r="F2029" s="34" t="n"/>
      <c r="G2029" s="34" t="n"/>
      <c r="H2029" s="34" t="n"/>
      <c r="I2029" s="34" t="n"/>
      <c r="J2029" s="16" t="n"/>
    </row>
    <row r="2030">
      <c r="A2030" s="43" t="n"/>
      <c r="B2030" s="44" t="n"/>
      <c r="C2030" s="43" t="n"/>
      <c r="D2030" s="19" t="inlineStr">
        <is>
          <t>Other Required:</t>
        </is>
      </c>
      <c r="E2030" s="35" t="inlineStr">
        <is>
          <t>None</t>
        </is>
      </c>
      <c r="F2030" s="35" t="n"/>
      <c r="G2030" s="35" t="n"/>
      <c r="H2030" s="35" t="n"/>
      <c r="I2030" s="35" t="n"/>
      <c r="J2030" s="16" t="n"/>
    </row>
    <row r="2031">
      <c r="A2031" s="41" t="b">
        <v>1</v>
      </c>
      <c r="B2031" s="31" t="inlineStr">
        <is>
          <t>Moon Kingdom: Taking Notes: On the Moon's Surface</t>
        </is>
      </c>
      <c r="C2031" s="35" t="n"/>
      <c r="D2031" s="12" t="inlineStr">
        <is>
          <t>Minimum Jump Height:</t>
        </is>
      </c>
      <c r="E2031" s="34" t="inlineStr">
        <is>
          <t>Single Jump (258)</t>
        </is>
      </c>
      <c r="F2031" s="34" t="inlineStr">
        <is>
          <t>Double Jump (312)</t>
        </is>
      </c>
      <c r="G2031" s="34" t="n"/>
      <c r="H2031" s="34" t="n"/>
      <c r="I2031" s="34" t="n"/>
      <c r="J2031" s="16" t="n"/>
    </row>
    <row r="2032">
      <c r="B2032" s="42" t="n"/>
      <c r="D2032" s="12" t="inlineStr">
        <is>
          <t>Cap Throws that work:</t>
        </is>
      </c>
      <c r="E2032" s="34" t="inlineStr">
        <is>
          <t>No Cap Throw Needed</t>
        </is>
      </c>
      <c r="F2032" s="34" t="inlineStr">
        <is>
          <t>No Cap Throw Needed</t>
        </is>
      </c>
      <c r="G2032" s="34" t="n"/>
      <c r="H2032" s="34" t="n"/>
      <c r="I2032" s="34" t="n"/>
      <c r="J2032" s="16" t="n"/>
    </row>
    <row r="2033">
      <c r="A2033" s="43" t="n"/>
      <c r="B2033" s="44" t="n"/>
      <c r="C2033" s="43" t="n"/>
      <c r="D2033" s="19" t="inlineStr">
        <is>
          <t>Other Required:</t>
        </is>
      </c>
      <c r="E2033" s="35" t="n"/>
      <c r="F2033" s="35" t="inlineStr">
        <is>
          <t>None</t>
        </is>
      </c>
      <c r="G2033" s="35" t="n"/>
      <c r="H2033" s="35" t="n"/>
      <c r="I2033" s="35" t="n"/>
      <c r="J2033" s="16" t="n"/>
    </row>
    <row r="2034">
      <c r="A2034" s="41" t="b">
        <v>1</v>
      </c>
      <c r="B2034" s="31" t="inlineStr">
        <is>
          <t>Underground Caverns: Under the Bowser Statue</t>
        </is>
      </c>
      <c r="C2034" s="35" t="inlineStr">
        <is>
          <t>Bowser Statue</t>
        </is>
      </c>
      <c r="D2034" s="12" t="inlineStr">
        <is>
          <t>Minimum Jump Height:</t>
        </is>
      </c>
      <c r="E2034" s="34" t="inlineStr">
        <is>
          <t>No Jump Needed</t>
        </is>
      </c>
      <c r="F2034" s="34" t="n"/>
      <c r="G2034" s="34" t="n"/>
      <c r="H2034" s="34" t="n"/>
      <c r="I2034" s="34" t="n"/>
      <c r="J2034" s="16" t="n"/>
    </row>
    <row r="2035">
      <c r="B2035" s="42" t="n"/>
      <c r="D2035" s="12" t="inlineStr">
        <is>
          <t>Cap Throws that work:</t>
        </is>
      </c>
      <c r="E2035" s="34" t="inlineStr">
        <is>
          <t>No Cap Throw Needed</t>
        </is>
      </c>
      <c r="F2035" s="34" t="n"/>
      <c r="G2035" s="34" t="n"/>
      <c r="H2035" s="34" t="n"/>
      <c r="I2035" s="34" t="n"/>
      <c r="J2035" s="16" t="n"/>
    </row>
    <row r="2036">
      <c r="A2036" s="43" t="n"/>
      <c r="B2036" s="44" t="n"/>
      <c r="C2036" s="43" t="n"/>
      <c r="D2036" s="19" t="inlineStr">
        <is>
          <t>Other Required:</t>
        </is>
      </c>
      <c r="E2036" s="35" t="inlineStr">
        <is>
          <t>Capture</t>
        </is>
      </c>
      <c r="F2036" s="35" t="n"/>
      <c r="G2036" s="35" t="n"/>
      <c r="H2036" s="35" t="n"/>
      <c r="I2036" s="35" t="n"/>
      <c r="J2036" s="16" t="n"/>
    </row>
    <row r="2037">
      <c r="A2037" s="41" t="b">
        <v>1</v>
      </c>
      <c r="B2037" s="31" t="inlineStr">
        <is>
          <t>Underground Caverns: In a Hole in the Magma</t>
        </is>
      </c>
      <c r="C2037" s="35" t="inlineStr">
        <is>
          <t>Paragoomba, Parabones</t>
        </is>
      </c>
      <c r="D2037" s="12" t="inlineStr">
        <is>
          <t>Minimum Jump Height:</t>
        </is>
      </c>
      <c r="E2037" s="34" t="inlineStr">
        <is>
          <t>No Jump Needed</t>
        </is>
      </c>
      <c r="F2037" s="34" t="n"/>
      <c r="G2037" s="34" t="n"/>
      <c r="H2037" s="34" t="n"/>
      <c r="I2037" s="34" t="n"/>
      <c r="J2037" s="16" t="n"/>
    </row>
    <row r="2038">
      <c r="B2038" s="42" t="n"/>
      <c r="D2038" s="12" t="inlineStr">
        <is>
          <t>Cap Throws that work:</t>
        </is>
      </c>
      <c r="E2038" s="34" t="inlineStr">
        <is>
          <t>No Cap Throw Needed</t>
        </is>
      </c>
      <c r="F2038" s="34" t="n"/>
      <c r="G2038" s="34" t="n"/>
      <c r="H2038" s="34" t="n"/>
      <c r="I2038" s="34" t="n"/>
      <c r="J2038" s="16" t="n"/>
    </row>
    <row r="2039">
      <c r="A2039" s="43" t="n"/>
      <c r="B2039" s="44" t="n"/>
      <c r="C2039" s="43" t="n"/>
      <c r="D2039" s="19" t="inlineStr">
        <is>
          <t>Other Required:</t>
        </is>
      </c>
      <c r="E2039" s="35" t="inlineStr">
        <is>
          <t>Capture</t>
        </is>
      </c>
      <c r="F2039" s="35" t="n"/>
      <c r="G2039" s="35" t="n"/>
      <c r="H2039" s="35" t="n"/>
      <c r="I2039" s="35" t="n"/>
      <c r="J2039" s="16" t="n"/>
    </row>
    <row r="2040">
      <c r="A2040" s="41" t="b">
        <v>1</v>
      </c>
      <c r="B2040" s="31" t="inlineStr">
        <is>
          <t>Underground Caverns: Around the Barrier Wall</t>
        </is>
      </c>
      <c r="C2040" s="35" t="inlineStr">
        <is>
          <t>Banzai Bill</t>
        </is>
      </c>
      <c r="D2040" s="12" t="inlineStr">
        <is>
          <t>Minimum Jump Height:</t>
        </is>
      </c>
      <c r="E2040" s="34" t="inlineStr">
        <is>
          <t>Single Jump (258)</t>
        </is>
      </c>
      <c r="F2040" s="34" t="n"/>
      <c r="G2040" s="34" t="n"/>
      <c r="H2040" s="34" t="n"/>
      <c r="I2040" s="34" t="n"/>
      <c r="J2040" s="16" t="n"/>
    </row>
    <row r="2041">
      <c r="B2041" s="42" t="n"/>
      <c r="D2041" s="12" t="inlineStr">
        <is>
          <t>Cap Throws that work:</t>
        </is>
      </c>
      <c r="E2041" s="34" t="inlineStr">
        <is>
          <t>Neutral Throw</t>
        </is>
      </c>
      <c r="F2041" s="34" t="n"/>
      <c r="G2041" s="34" t="n"/>
      <c r="H2041" s="34" t="n"/>
      <c r="I2041" s="34" t="n"/>
      <c r="J2041" s="16" t="n"/>
    </row>
    <row r="2042">
      <c r="A2042" s="43" t="n"/>
      <c r="B2042" s="44" t="n"/>
      <c r="C2042" s="43" t="n"/>
      <c r="D2042" s="19" t="inlineStr">
        <is>
          <t>Other Required:</t>
        </is>
      </c>
      <c r="E2042" s="35" t="inlineStr">
        <is>
          <t>Capture, Ground Pound, Dive</t>
        </is>
      </c>
      <c r="F2042" s="35" t="n"/>
      <c r="G2042" s="35" t="n"/>
      <c r="H2042" s="35" t="n"/>
      <c r="I2042" s="35" t="n"/>
      <c r="J2042" s="16" t="n"/>
    </row>
    <row r="2043">
      <c r="A2043" s="41" t="b">
        <v>1</v>
      </c>
      <c r="B2043" s="31" t="inlineStr">
        <is>
          <t>Underground Caverns: On Top of the Cannon</t>
        </is>
      </c>
      <c r="C2043" s="35" t="inlineStr">
        <is>
          <t>Bullet Bill</t>
        </is>
      </c>
      <c r="D2043" s="12" t="inlineStr">
        <is>
          <t>Minimum Jump Height:</t>
        </is>
      </c>
      <c r="E2043" s="34" t="inlineStr">
        <is>
          <t>Single Jump (258)</t>
        </is>
      </c>
      <c r="F2043" s="34" t="n"/>
      <c r="G2043" s="34" t="n"/>
      <c r="H2043" s="34" t="n"/>
      <c r="I2043" s="34" t="n"/>
      <c r="J2043" s="16" t="n"/>
    </row>
    <row r="2044">
      <c r="B2044" s="42" t="n"/>
      <c r="D2044" s="12" t="inlineStr">
        <is>
          <t>Cap Throws that work:</t>
        </is>
      </c>
      <c r="E2044" s="34" t="inlineStr">
        <is>
          <t>No Cap Throw Needed</t>
        </is>
      </c>
      <c r="F2044" s="34" t="n"/>
      <c r="G2044" s="34" t="n"/>
      <c r="H2044" s="34" t="n"/>
      <c r="I2044" s="34" t="n"/>
      <c r="J2044" s="16" t="n"/>
    </row>
    <row r="2045">
      <c r="A2045" s="43" t="n"/>
      <c r="B2045" s="44" t="n"/>
      <c r="C2045" s="43" t="n"/>
      <c r="D2045" s="19" t="inlineStr">
        <is>
          <t>Other Required:</t>
        </is>
      </c>
      <c r="E2045" s="35" t="inlineStr">
        <is>
          <t>Capture, Ground Pound</t>
        </is>
      </c>
      <c r="F2045" s="35" t="n"/>
      <c r="G2045" s="35" t="n"/>
      <c r="H2045" s="35" t="n"/>
      <c r="I2045" s="35" t="n"/>
      <c r="J2045" s="16" t="n"/>
    </row>
    <row r="2046">
      <c r="A2046" s="41" t="b">
        <v>1</v>
      </c>
      <c r="B2046" s="31" t="inlineStr">
        <is>
          <t>Underground Caverns: Fly to the Treasure Chest and Back</t>
        </is>
      </c>
      <c r="C2046" s="35" t="inlineStr">
        <is>
          <t>Banzai Bill</t>
        </is>
      </c>
      <c r="D2046" s="12" t="inlineStr">
        <is>
          <t>Minimum Jump Height:</t>
        </is>
      </c>
      <c r="E2046" s="34" t="inlineStr">
        <is>
          <t>Long Jump</t>
        </is>
      </c>
      <c r="F2046" s="34" t="n"/>
      <c r="G2046" s="34" t="n"/>
      <c r="H2046" s="34" t="n"/>
      <c r="I2046" s="34" t="n"/>
      <c r="J2046" s="16" t="n"/>
    </row>
    <row r="2047">
      <c r="B2047" s="42" t="n"/>
      <c r="D2047" s="12" t="inlineStr">
        <is>
          <t>Cap Throws that work:</t>
        </is>
      </c>
      <c r="E2047" s="34" t="inlineStr">
        <is>
          <t>Neutral Throw, Up Throw, Down Throw, Spin Throw</t>
        </is>
      </c>
      <c r="F2047" s="34" t="n"/>
      <c r="G2047" s="34" t="n"/>
      <c r="H2047" s="34" t="n"/>
      <c r="I2047" s="34" t="n"/>
      <c r="J2047" s="16" t="n"/>
    </row>
    <row r="2048">
      <c r="A2048" s="43" t="n"/>
      <c r="B2048" s="44" t="n"/>
      <c r="C2048" s="43" t="n"/>
      <c r="D2048" s="19" t="inlineStr">
        <is>
          <t>Other Required:</t>
        </is>
      </c>
      <c r="E2048" s="35" t="inlineStr">
        <is>
          <t>Capture</t>
        </is>
      </c>
      <c r="F2048" s="35" t="n"/>
      <c r="G2048" s="35" t="n"/>
      <c r="H2048" s="35" t="n"/>
      <c r="I2048" s="35" t="n"/>
      <c r="J2048" s="16" t="n"/>
    </row>
    <row r="2049">
      <c r="A2049" s="41" t="b">
        <v>1</v>
      </c>
      <c r="B2049" s="31" t="inlineStr">
        <is>
          <t>Wedding Room: Up in the Rafters</t>
        </is>
      </c>
      <c r="C2049" s="35" t="n"/>
      <c r="D2049" s="12" t="inlineStr">
        <is>
          <t>Minimum Jump Height:</t>
        </is>
      </c>
      <c r="E2049" s="34" t="inlineStr">
        <is>
          <t>Cap Return Jump (400)</t>
        </is>
      </c>
      <c r="F2049" s="34" t="inlineStr">
        <is>
          <t>Single Jump (258)</t>
        </is>
      </c>
      <c r="G2049" s="34" t="n"/>
      <c r="H2049" s="34" t="n"/>
      <c r="I2049" s="34" t="n"/>
      <c r="J2049" s="16" t="n"/>
    </row>
    <row r="2050">
      <c r="B2050" s="42" t="n"/>
      <c r="D2050" s="12" t="inlineStr">
        <is>
          <t>Cap Throws that work:</t>
        </is>
      </c>
      <c r="E2050" s="34" t="inlineStr">
        <is>
          <t>Neutral Throw</t>
        </is>
      </c>
      <c r="F2050" s="34" t="inlineStr">
        <is>
          <t>Neutral Throw</t>
        </is>
      </c>
      <c r="G2050" s="34" t="n"/>
      <c r="H2050" s="34" t="n"/>
      <c r="I2050" s="34" t="n"/>
      <c r="J2050" s="16" t="n"/>
    </row>
    <row r="2051">
      <c r="A2051" s="43" t="n"/>
      <c r="B2051" s="44" t="n"/>
      <c r="C2051" s="43" t="n"/>
      <c r="D2051" s="19" t="inlineStr">
        <is>
          <t>Other Required:</t>
        </is>
      </c>
      <c r="E2051" s="35" t="inlineStr">
        <is>
          <t>Dive, Wall Slide</t>
        </is>
      </c>
      <c r="F2051" s="35" t="inlineStr">
        <is>
          <t>Wall Slide</t>
        </is>
      </c>
      <c r="G2051" s="35" t="n"/>
      <c r="H2051" s="35" t="n"/>
      <c r="I2051" s="35" t="n"/>
      <c r="J2051" s="16" t="n"/>
    </row>
    <row r="2052">
      <c r="A2052" s="41" t="b">
        <v>1</v>
      </c>
      <c r="B2052" s="31" t="inlineStr">
        <is>
          <t>Moon Kingdom: Sneaking Around in the Crater</t>
        </is>
      </c>
      <c r="C2052" s="35" t="n"/>
      <c r="D2052" s="12" t="inlineStr">
        <is>
          <t>Minimum Jump Height:</t>
        </is>
      </c>
      <c r="E2052" s="34" t="inlineStr">
        <is>
          <t>Single Jump (258)</t>
        </is>
      </c>
      <c r="F2052" s="34" t="n"/>
      <c r="G2052" s="34" t="n"/>
      <c r="H2052" s="34" t="n"/>
      <c r="I2052" s="34" t="n"/>
      <c r="J2052" s="16" t="n"/>
    </row>
    <row r="2053">
      <c r="B2053" s="42" t="n"/>
      <c r="D2053" s="12" t="inlineStr">
        <is>
          <t>Cap Throws that work:</t>
        </is>
      </c>
      <c r="E2053" s="34" t="inlineStr">
        <is>
          <t>Neutral Throw, Up Throw, Down Throw, Spin Throw</t>
        </is>
      </c>
      <c r="F2053" s="34" t="n"/>
      <c r="G2053" s="34" t="n"/>
      <c r="H2053" s="34" t="n"/>
      <c r="I2053" s="34" t="n"/>
      <c r="J2053" s="16" t="n"/>
    </row>
    <row r="2054">
      <c r="A2054" s="43" t="n"/>
      <c r="B2054" s="44" t="n"/>
      <c r="C2054" s="43" t="n"/>
      <c r="D2054" s="19" t="inlineStr">
        <is>
          <t>Other Required:</t>
        </is>
      </c>
      <c r="E2054" s="35" t="inlineStr">
        <is>
          <t>Ground Pound</t>
        </is>
      </c>
      <c r="F2054" s="35" t="n"/>
      <c r="G2054" s="35" t="n"/>
      <c r="H2054" s="35" t="n"/>
      <c r="I2054" s="35" t="n"/>
      <c r="J2054" s="16" t="n"/>
    </row>
    <row r="2055">
      <c r="A2055" s="41" t="b">
        <v>1</v>
      </c>
      <c r="B2055" s="31" t="inlineStr">
        <is>
          <t>Moon Kingdom: Found on the Moon, Good Dog!</t>
        </is>
      </c>
      <c r="C2055" s="35" t="n"/>
      <c r="D2055" s="12" t="inlineStr">
        <is>
          <t>Minimum Jump Height:</t>
        </is>
      </c>
      <c r="E2055" s="34" t="inlineStr">
        <is>
          <t>Single Jump (258)</t>
        </is>
      </c>
      <c r="F2055" s="34" t="n"/>
      <c r="G2055" s="34" t="n"/>
      <c r="H2055" s="34" t="n"/>
      <c r="I2055" s="34" t="n"/>
      <c r="J2055" s="16" t="n"/>
    </row>
    <row r="2056">
      <c r="B2056" s="42" t="n"/>
      <c r="D2056" s="12" t="inlineStr">
        <is>
          <t>Cap Throws that work:</t>
        </is>
      </c>
      <c r="E2056" s="34" t="inlineStr">
        <is>
          <t>No Cap Throw Needed</t>
        </is>
      </c>
      <c r="F2056" s="34" t="n"/>
      <c r="G2056" s="34" t="n"/>
      <c r="H2056" s="34" t="n"/>
      <c r="I2056" s="34" t="n"/>
      <c r="J2056" s="16" t="n"/>
    </row>
    <row r="2057">
      <c r="A2057" s="43" t="n"/>
      <c r="B2057" s="44" t="n"/>
      <c r="C2057" s="43" t="n"/>
      <c r="D2057" s="19" t="inlineStr">
        <is>
          <t>Other Required:</t>
        </is>
      </c>
      <c r="E2057" s="35" t="inlineStr">
        <is>
          <t>Ground Pound</t>
        </is>
      </c>
      <c r="F2057" s="35" t="n"/>
      <c r="G2057" s="35" t="n"/>
      <c r="H2057" s="35" t="n"/>
      <c r="I2057" s="35" t="n"/>
      <c r="J2057" s="16" t="n"/>
    </row>
    <row r="2058">
      <c r="A2058" s="41" t="b">
        <v>1</v>
      </c>
      <c r="B2058" s="31" t="inlineStr">
        <is>
          <t>Moon Kingdom: Moon Shards on the Moon</t>
        </is>
      </c>
      <c r="C2058" s="35" t="n"/>
      <c r="D2058" s="12" t="inlineStr">
        <is>
          <t>Minimum Jump Height:</t>
        </is>
      </c>
      <c r="E2058" s="34" t="inlineStr">
        <is>
          <t>Single Jump (258)</t>
        </is>
      </c>
      <c r="F2058" s="34" t="n"/>
      <c r="G2058" s="34" t="n"/>
      <c r="H2058" s="34" t="n"/>
      <c r="I2058" s="34" t="n"/>
      <c r="J2058" s="16" t="n"/>
    </row>
    <row r="2059">
      <c r="B2059" s="42" t="n"/>
      <c r="D2059" s="12" t="inlineStr">
        <is>
          <t>Cap Throws that work:</t>
        </is>
      </c>
      <c r="E2059" s="34" t="inlineStr">
        <is>
          <t>No Cap Throw Needed</t>
        </is>
      </c>
      <c r="F2059" s="34" t="n"/>
      <c r="G2059" s="34" t="n"/>
      <c r="H2059" s="34" t="n"/>
      <c r="I2059" s="34" t="n"/>
      <c r="J2059" s="16" t="n"/>
    </row>
    <row r="2060">
      <c r="A2060" s="43" t="n"/>
      <c r="B2060" s="44" t="n"/>
      <c r="C2060" s="43" t="n"/>
      <c r="D2060" s="19" t="inlineStr">
        <is>
          <t>Other Required:</t>
        </is>
      </c>
      <c r="E2060" s="35" t="inlineStr">
        <is>
          <t>Wall Slide</t>
        </is>
      </c>
      <c r="F2060" s="35" t="n"/>
      <c r="G2060" s="35" t="n"/>
      <c r="H2060" s="35" t="n"/>
      <c r="I2060" s="35" t="n"/>
      <c r="J2060" s="16" t="n"/>
    </row>
    <row r="2061">
      <c r="A2061" s="41" t="b">
        <v>1</v>
      </c>
      <c r="B2061" s="31" t="inlineStr">
        <is>
          <t>Moon Kingdom: Moon Quiz: Amazing!</t>
        </is>
      </c>
      <c r="C2061" s="35" t="n"/>
      <c r="D2061" s="12" t="inlineStr">
        <is>
          <t>Minimum Jump Height:</t>
        </is>
      </c>
      <c r="E2061" s="34" t="inlineStr">
        <is>
          <t>No Jump Needed</t>
        </is>
      </c>
      <c r="F2061" s="34" t="n"/>
      <c r="G2061" s="34" t="n"/>
      <c r="H2061" s="34" t="n"/>
      <c r="I2061" s="34" t="n"/>
      <c r="J2061" s="16" t="n"/>
    </row>
    <row r="2062">
      <c r="B2062" s="42" t="n"/>
      <c r="D2062" s="12" t="inlineStr">
        <is>
          <t>Cap Throws that work:</t>
        </is>
      </c>
      <c r="E2062" s="34" t="inlineStr">
        <is>
          <t>No Cap Throw Needed</t>
        </is>
      </c>
      <c r="F2062" s="34" t="n"/>
      <c r="G2062" s="34" t="n"/>
      <c r="H2062" s="34" t="n"/>
      <c r="I2062" s="34" t="n"/>
      <c r="J2062" s="16" t="n"/>
    </row>
    <row r="2063">
      <c r="A2063" s="43" t="n"/>
      <c r="B2063" s="44" t="n"/>
      <c r="C2063" s="43" t="n"/>
      <c r="D2063" s="19" t="inlineStr">
        <is>
          <t>Other Required:</t>
        </is>
      </c>
      <c r="E2063" s="35" t="inlineStr">
        <is>
          <t>None</t>
        </is>
      </c>
      <c r="F2063" s="35" t="n"/>
      <c r="G2063" s="35" t="n"/>
      <c r="H2063" s="35" t="n"/>
      <c r="I2063" s="35" t="n"/>
      <c r="J2063" s="16" t="n"/>
    </row>
    <row r="2064">
      <c r="A2064" s="41" t="b">
        <v>1</v>
      </c>
      <c r="B2064" s="31" t="inlineStr">
        <is>
          <t>Moon Kingdom: Thanks, Captain Toad!</t>
        </is>
      </c>
      <c r="C2064" s="35" t="n"/>
      <c r="D2064" s="12" t="inlineStr">
        <is>
          <t>Minimum Jump Height:</t>
        </is>
      </c>
      <c r="E2064" s="34" t="inlineStr">
        <is>
          <t>No Jump Needed</t>
        </is>
      </c>
      <c r="F2064" s="34" t="n"/>
      <c r="G2064" s="34" t="n"/>
      <c r="H2064" s="34" t="n"/>
      <c r="I2064" s="34" t="n"/>
      <c r="J2064" s="16" t="n"/>
    </row>
    <row r="2065">
      <c r="B2065" s="42" t="n"/>
      <c r="D2065" s="12" t="inlineStr">
        <is>
          <t>Cap Throws that work:</t>
        </is>
      </c>
      <c r="E2065" s="34" t="inlineStr">
        <is>
          <t>No Cap Throw Needed</t>
        </is>
      </c>
      <c r="F2065" s="34" t="n"/>
      <c r="G2065" s="34" t="n"/>
      <c r="H2065" s="34" t="n"/>
      <c r="I2065" s="34" t="n"/>
      <c r="J2065" s="16" t="n"/>
    </row>
    <row r="2066">
      <c r="A2066" s="43" t="n"/>
      <c r="B2066" s="44" t="n"/>
      <c r="C2066" s="43" t="n"/>
      <c r="D2066" s="19" t="inlineStr">
        <is>
          <t>Other Required:</t>
        </is>
      </c>
      <c r="E2066" s="35" t="inlineStr">
        <is>
          <t>None</t>
        </is>
      </c>
      <c r="F2066" s="35" t="n"/>
      <c r="G2066" s="35" t="n"/>
      <c r="H2066" s="35" t="n"/>
      <c r="I2066" s="35" t="n"/>
      <c r="J2066" s="16" t="n"/>
    </row>
    <row r="2067">
      <c r="A2067" s="41" t="b">
        <v>1</v>
      </c>
      <c r="B2067" s="31" t="inlineStr">
        <is>
          <t>Crazy Cap Store (Moon): Shopping in Honeylune Ridge</t>
        </is>
      </c>
      <c r="C2067" s="35" t="n"/>
      <c r="D2067" s="12" t="inlineStr">
        <is>
          <t>Minimum Jump Height:</t>
        </is>
      </c>
      <c r="E2067" s="34" t="inlineStr">
        <is>
          <t>No Jump Needed</t>
        </is>
      </c>
      <c r="F2067" s="34" t="n"/>
      <c r="G2067" s="34" t="n"/>
      <c r="H2067" s="34" t="n"/>
      <c r="I2067" s="34" t="n"/>
      <c r="J2067" s="16" t="n"/>
    </row>
    <row r="2068">
      <c r="B2068" s="42" t="n"/>
      <c r="D2068" s="12" t="inlineStr">
        <is>
          <t>Cap Throws that work:</t>
        </is>
      </c>
      <c r="E2068" s="34" t="inlineStr">
        <is>
          <t>No Cap Throw Needed</t>
        </is>
      </c>
      <c r="F2068" s="34" t="n"/>
      <c r="G2068" s="34" t="n"/>
      <c r="H2068" s="34" t="n"/>
      <c r="I2068" s="34" t="n"/>
      <c r="J2068" s="16" t="n"/>
    </row>
    <row r="2069">
      <c r="A2069" s="43" t="n"/>
      <c r="B2069" s="44" t="n"/>
      <c r="C2069" s="43" t="n"/>
      <c r="D2069" s="19" t="inlineStr">
        <is>
          <t>Other Required:</t>
        </is>
      </c>
      <c r="E2069" s="35" t="inlineStr">
        <is>
          <t>None</t>
        </is>
      </c>
      <c r="F2069" s="35" t="n"/>
      <c r="G2069" s="35" t="n"/>
      <c r="H2069" s="35" t="n"/>
      <c r="I2069" s="35" t="n"/>
      <c r="J2069" s="16" t="n"/>
    </row>
    <row r="2070">
      <c r="A2070" s="41" t="b">
        <v>1</v>
      </c>
      <c r="B2070" s="31" t="inlineStr">
        <is>
          <t>Moon Kingdom: Walking on the Moon!</t>
        </is>
      </c>
      <c r="C2070" s="35" t="n"/>
      <c r="D2070" s="12" t="inlineStr">
        <is>
          <t>Minimum Jump Height:</t>
        </is>
      </c>
      <c r="E2070" s="34" t="inlineStr">
        <is>
          <t>No Jump Needed</t>
        </is>
      </c>
      <c r="F2070" s="34" t="n"/>
      <c r="G2070" s="34" t="n"/>
      <c r="H2070" s="34" t="n"/>
      <c r="I2070" s="34" t="n"/>
      <c r="J2070" s="16" t="n"/>
    </row>
    <row r="2071">
      <c r="B2071" s="42" t="n"/>
      <c r="D2071" s="12" t="inlineStr">
        <is>
          <t>Cap Throws that work:</t>
        </is>
      </c>
      <c r="E2071" s="34" t="inlineStr">
        <is>
          <t>No Cap Throw Needed</t>
        </is>
      </c>
      <c r="F2071" s="34" t="n"/>
      <c r="G2071" s="34" t="n"/>
      <c r="H2071" s="34" t="n"/>
      <c r="I2071" s="34" t="n"/>
      <c r="J2071" s="16" t="n"/>
    </row>
    <row r="2072">
      <c r="A2072" s="43" t="n"/>
      <c r="B2072" s="44" t="n"/>
      <c r="C2072" s="43" t="n"/>
      <c r="D2072" s="19" t="inlineStr">
        <is>
          <t>Other Required:</t>
        </is>
      </c>
      <c r="E2072" s="35" t="inlineStr">
        <is>
          <t>None</t>
        </is>
      </c>
      <c r="F2072" s="35" t="n"/>
      <c r="G2072" s="35" t="n"/>
      <c r="H2072" s="35" t="n"/>
      <c r="I2072" s="35" t="n"/>
      <c r="J2072" s="16" t="n"/>
    </row>
    <row r="2073">
      <c r="A2073" s="41" t="b">
        <v>1</v>
      </c>
      <c r="B2073" s="31" t="inlineStr">
        <is>
          <t>Moon Kingdom: Moon Kingdom Regular Cup</t>
        </is>
      </c>
      <c r="C2073" s="35" t="n"/>
      <c r="D2073" s="12" t="inlineStr">
        <is>
          <t>Minimum Jump Height:</t>
        </is>
      </c>
      <c r="E2073" s="34" t="inlineStr">
        <is>
          <t>Single Jump (258)</t>
        </is>
      </c>
      <c r="F2073" s="34" t="n"/>
      <c r="G2073" s="34" t="n"/>
      <c r="H2073" s="34" t="n"/>
      <c r="I2073" s="34" t="n"/>
      <c r="J2073" s="16" t="n"/>
    </row>
    <row r="2074">
      <c r="B2074" s="42" t="n"/>
      <c r="D2074" s="12" t="inlineStr">
        <is>
          <t>Cap Throws that work:</t>
        </is>
      </c>
      <c r="E2074" s="34" t="inlineStr">
        <is>
          <t>No Cap Throw Needed</t>
        </is>
      </c>
      <c r="F2074" s="34" t="n"/>
      <c r="G2074" s="34" t="n"/>
      <c r="H2074" s="34" t="n"/>
      <c r="I2074" s="34" t="n"/>
      <c r="J2074" s="16" t="n"/>
    </row>
    <row r="2075">
      <c r="A2075" s="43" t="n"/>
      <c r="B2075" s="44" t="n"/>
      <c r="C2075" s="43" t="n"/>
      <c r="D2075" s="19" t="inlineStr">
        <is>
          <t>Other Required:</t>
        </is>
      </c>
      <c r="E2075" s="35" t="inlineStr">
        <is>
          <t>Wall Slide</t>
        </is>
      </c>
      <c r="F2075" s="35" t="n"/>
      <c r="G2075" s="35" t="n"/>
      <c r="H2075" s="35" t="n"/>
      <c r="I2075" s="35" t="n"/>
      <c r="J2075" s="16" t="n"/>
    </row>
    <row r="2076">
      <c r="A2076" s="41" t="b">
        <v>1</v>
      </c>
      <c r="B2076" s="31" t="inlineStr">
        <is>
          <t>Wedding Room: Doctor in the House</t>
        </is>
      </c>
      <c r="C2076" s="35" t="n"/>
      <c r="D2076" s="12" t="inlineStr">
        <is>
          <t>Minimum Jump Height:</t>
        </is>
      </c>
      <c r="E2076" s="34" t="inlineStr">
        <is>
          <t>No Jump Needed</t>
        </is>
      </c>
      <c r="F2076" s="34" t="n"/>
      <c r="G2076" s="34" t="n"/>
      <c r="H2076" s="34" t="n"/>
      <c r="I2076" s="34" t="n"/>
      <c r="J2076" s="16" t="n"/>
    </row>
    <row r="2077">
      <c r="B2077" s="42" t="n"/>
      <c r="D2077" s="12" t="inlineStr">
        <is>
          <t>Cap Throws that work:</t>
        </is>
      </c>
      <c r="E2077" s="34" t="inlineStr">
        <is>
          <t>No Cap Throw Needed</t>
        </is>
      </c>
      <c r="F2077" s="34" t="n"/>
      <c r="G2077" s="34" t="n"/>
      <c r="H2077" s="34" t="n"/>
      <c r="I2077" s="34" t="n"/>
      <c r="J2077" s="16" t="n"/>
    </row>
    <row r="2078">
      <c r="A2078" s="43" t="n"/>
      <c r="B2078" s="44" t="n"/>
      <c r="C2078" s="43" t="n"/>
      <c r="D2078" s="19" t="inlineStr">
        <is>
          <t>Other Required:</t>
        </is>
      </c>
      <c r="E2078" s="35" t="inlineStr">
        <is>
          <t>None</t>
        </is>
      </c>
      <c r="F2078" s="35" t="n"/>
      <c r="G2078" s="35" t="n"/>
      <c r="H2078" s="35" t="n"/>
      <c r="I2078" s="35" t="n"/>
      <c r="J2078" s="16" t="n"/>
    </row>
    <row r="2079">
      <c r="A2079" s="41" t="b">
        <v>1</v>
      </c>
      <c r="B2079" s="31" t="inlineStr">
        <is>
          <t>Moon Kingdom Treasure Vault: Sphynx's Hidden Vault</t>
        </is>
      </c>
      <c r="C2079" s="35" t="n"/>
      <c r="D2079" s="12" t="inlineStr">
        <is>
          <t>Minimum Jump Height:</t>
        </is>
      </c>
      <c r="E2079" s="34" t="inlineStr">
        <is>
          <t>Long Jump</t>
        </is>
      </c>
      <c r="F2079" s="34" t="inlineStr">
        <is>
          <t>Single Jump (258)</t>
        </is>
      </c>
      <c r="G2079" s="34" t="n"/>
      <c r="H2079" s="34" t="n"/>
      <c r="I2079" s="34" t="n"/>
      <c r="J2079" s="16" t="n"/>
    </row>
    <row r="2080">
      <c r="B2080" s="42" t="n"/>
      <c r="D2080" s="12" t="inlineStr">
        <is>
          <t>Cap Throws that work:</t>
        </is>
      </c>
      <c r="E2080" s="34" t="inlineStr">
        <is>
          <t>Neutral Throw, Up Throw, Down Throw, Spin Throw</t>
        </is>
      </c>
      <c r="F2080" s="34" t="inlineStr">
        <is>
          <t>No Cap Throw Needed</t>
        </is>
      </c>
      <c r="G2080" s="34" t="n"/>
      <c r="H2080" s="34" t="n"/>
      <c r="I2080" s="34" t="n"/>
      <c r="J2080" s="16" t="n"/>
    </row>
    <row r="2081">
      <c r="A2081" s="43" t="n"/>
      <c r="B2081" s="44" t="n"/>
      <c r="C2081" s="43" t="n"/>
      <c r="D2081" s="19" t="inlineStr">
        <is>
          <t>Other Required:</t>
        </is>
      </c>
      <c r="E2081" s="35" t="inlineStr">
        <is>
          <t>None</t>
        </is>
      </c>
      <c r="F2081" s="35" t="inlineStr">
        <is>
          <t>Ground Pound</t>
        </is>
      </c>
      <c r="G2081" s="35" t="n"/>
      <c r="H2081" s="35" t="n"/>
      <c r="I2081" s="35" t="n"/>
      <c r="J2081" s="16" t="n"/>
    </row>
    <row r="2082">
      <c r="A2082" s="41" t="b">
        <v>1</v>
      </c>
      <c r="B2082" s="31" t="inlineStr">
        <is>
          <t>Moon Kingdom: A Tourist in the Moon Kingdom!</t>
        </is>
      </c>
      <c r="C2082" s="35" t="n"/>
      <c r="D2082" s="12" t="inlineStr">
        <is>
          <t>Minimum Jump Height:</t>
        </is>
      </c>
      <c r="E2082" s="34" t="inlineStr">
        <is>
          <t>No Jump Needed</t>
        </is>
      </c>
      <c r="F2082" s="34" t="n"/>
      <c r="G2082" s="34" t="n"/>
      <c r="H2082" s="34" t="n"/>
      <c r="I2082" s="34" t="n"/>
      <c r="J2082" s="16" t="n"/>
    </row>
    <row r="2083">
      <c r="B2083" s="42" t="n"/>
      <c r="D2083" s="12" t="inlineStr">
        <is>
          <t>Cap Throws that work:</t>
        </is>
      </c>
      <c r="E2083" s="34" t="inlineStr">
        <is>
          <t>No Cap Throw Needed</t>
        </is>
      </c>
      <c r="F2083" s="34" t="n"/>
      <c r="G2083" s="34" t="n"/>
      <c r="H2083" s="34" t="n"/>
      <c r="I2083" s="34" t="n"/>
      <c r="J2083" s="16" t="n"/>
    </row>
    <row r="2084">
      <c r="A2084" s="43" t="n"/>
      <c r="B2084" s="44" t="n"/>
      <c r="C2084" s="43" t="n"/>
      <c r="D2084" s="19" t="inlineStr">
        <is>
          <t>Other Required:</t>
        </is>
      </c>
      <c r="E2084" s="35" t="inlineStr">
        <is>
          <t>None</t>
        </is>
      </c>
      <c r="F2084" s="35" t="n"/>
      <c r="G2084" s="35" t="n"/>
      <c r="H2084" s="35" t="n"/>
      <c r="I2084" s="35" t="n"/>
      <c r="J2084" s="16" t="n"/>
    </row>
    <row r="2085">
      <c r="A2085" s="41" t="b">
        <v>1</v>
      </c>
      <c r="B2085" s="31" t="inlineStr">
        <is>
          <t>Moon Kingdom: Peach in the Moon Kingdom</t>
        </is>
      </c>
      <c r="C2085" s="35" t="n"/>
      <c r="D2085" s="12" t="inlineStr">
        <is>
          <t>Minimum Jump Height:</t>
        </is>
      </c>
      <c r="E2085" s="34" t="inlineStr">
        <is>
          <t>Single Jump (258)</t>
        </is>
      </c>
      <c r="F2085" s="34" t="n"/>
      <c r="G2085" s="34" t="n"/>
      <c r="H2085" s="34" t="n"/>
      <c r="I2085" s="34" t="n"/>
      <c r="J2085" s="16" t="n"/>
    </row>
    <row r="2086">
      <c r="B2086" s="42" t="n"/>
      <c r="D2086" s="12" t="inlineStr">
        <is>
          <t>Cap Throws that work:</t>
        </is>
      </c>
      <c r="E2086" s="34" t="inlineStr">
        <is>
          <t>Neutral Throw</t>
        </is>
      </c>
      <c r="F2086" s="34" t="n"/>
      <c r="G2086" s="34" t="n"/>
      <c r="H2086" s="34" t="n"/>
      <c r="I2086" s="34" t="n"/>
      <c r="J2086" s="16" t="n"/>
    </row>
    <row r="2087">
      <c r="A2087" s="43" t="n"/>
      <c r="B2087" s="44" t="n"/>
      <c r="C2087" s="43" t="n"/>
      <c r="D2087" s="19" t="inlineStr">
        <is>
          <t>Other Required:</t>
        </is>
      </c>
      <c r="E2087" s="35" t="inlineStr">
        <is>
          <t>Wall Slide</t>
        </is>
      </c>
      <c r="F2087" s="35" t="n"/>
      <c r="G2087" s="35" t="n"/>
      <c r="H2087" s="35" t="n"/>
      <c r="I2087" s="35" t="n"/>
      <c r="J2087" s="16" t="n"/>
    </row>
    <row r="2088">
      <c r="A2088" s="41" t="b">
        <v>1</v>
      </c>
      <c r="B2088" s="31" t="inlineStr">
        <is>
          <t>Wedding Room: Found with Moon Kingdom Art</t>
        </is>
      </c>
      <c r="C2088" s="35" t="n"/>
      <c r="D2088" s="12" t="inlineStr">
        <is>
          <t>Minimum Jump Height:</t>
        </is>
      </c>
      <c r="E2088" s="34" t="inlineStr">
        <is>
          <t>Single Jump (258)</t>
        </is>
      </c>
      <c r="F2088" s="34" t="n"/>
      <c r="G2088" s="34" t="n"/>
      <c r="H2088" s="34" t="n"/>
      <c r="I2088" s="34" t="n"/>
      <c r="J2088" s="16" t="n"/>
    </row>
    <row r="2089">
      <c r="B2089" s="42" t="n"/>
      <c r="D2089" s="12" t="inlineStr">
        <is>
          <t>Cap Throws that work:</t>
        </is>
      </c>
      <c r="E2089" s="34" t="inlineStr">
        <is>
          <t>No Cap Throw Needed</t>
        </is>
      </c>
      <c r="F2089" s="34" t="n"/>
      <c r="G2089" s="34" t="n"/>
      <c r="H2089" s="34" t="n"/>
      <c r="I2089" s="34" t="n"/>
      <c r="J2089" s="16" t="n"/>
    </row>
    <row r="2090">
      <c r="A2090" s="43" t="n"/>
      <c r="B2090" s="44" t="n"/>
      <c r="C2090" s="43" t="n"/>
      <c r="D2090" s="19" t="inlineStr">
        <is>
          <t>Other Required:</t>
        </is>
      </c>
      <c r="E2090" s="35" t="inlineStr">
        <is>
          <t>Ground Pound</t>
        </is>
      </c>
      <c r="F2090" s="35" t="n"/>
      <c r="G2090" s="35" t="n"/>
      <c r="H2090" s="35" t="n"/>
      <c r="I2090" s="35" t="n"/>
      <c r="J2090" s="16" t="n"/>
    </row>
    <row r="2091">
      <c r="A2091" s="41" t="b">
        <v>1</v>
      </c>
      <c r="B2091" s="31" t="inlineStr">
        <is>
          <t>Moon Kingdom: Mysterious Flying Object</t>
        </is>
      </c>
      <c r="C2091" s="35" t="n"/>
      <c r="D2091" s="12" t="inlineStr">
        <is>
          <t>Minimum Jump Height:</t>
        </is>
      </c>
      <c r="E2091" s="34" t="inlineStr">
        <is>
          <t>No Jump Needed</t>
        </is>
      </c>
      <c r="F2091" s="34" t="inlineStr">
        <is>
          <t>No Jump Needed</t>
        </is>
      </c>
      <c r="G2091" s="34" t="n"/>
      <c r="H2091" s="34" t="n"/>
      <c r="I2091" s="34" t="n"/>
      <c r="J2091" s="16" t="n"/>
    </row>
    <row r="2092">
      <c r="B2092" s="42" t="n"/>
      <c r="D2092" s="12" t="inlineStr">
        <is>
          <t>Cap Throws that work:</t>
        </is>
      </c>
      <c r="E2092" s="34" t="inlineStr">
        <is>
          <t>Neutral Throw, Up Throw, Down Throw</t>
        </is>
      </c>
      <c r="F2092" s="34" t="inlineStr">
        <is>
          <t>No Cap Throw Needed</t>
        </is>
      </c>
      <c r="G2092" s="34" t="n"/>
      <c r="H2092" s="34" t="n"/>
      <c r="I2092" s="34" t="n"/>
      <c r="J2092" s="16" t="n"/>
    </row>
    <row r="2093">
      <c r="A2093" s="43" t="n"/>
      <c r="B2093" s="44" t="n"/>
      <c r="C2093" s="43" t="n"/>
      <c r="D2093" s="19" t="inlineStr">
        <is>
          <t>Other Required:</t>
        </is>
      </c>
      <c r="E2093" s="35" t="n"/>
      <c r="F2093" s="35" t="inlineStr">
        <is>
          <t>None</t>
        </is>
      </c>
      <c r="G2093" s="35" t="n"/>
      <c r="H2093" s="35" t="n"/>
      <c r="I2093" s="35" t="n"/>
      <c r="J2093" s="16" t="n"/>
    </row>
    <row r="2094">
      <c r="A2094" s="41" t="b">
        <v>1</v>
      </c>
      <c r="B2094" s="31" t="inlineStr">
        <is>
          <t>Moon Kingdom: Hidden on the Side of the Cliff</t>
        </is>
      </c>
      <c r="C2094" s="35" t="n"/>
      <c r="D2094" s="12" t="inlineStr">
        <is>
          <t>Minimum Jump Height:</t>
        </is>
      </c>
      <c r="E2094" s="34" t="inlineStr">
        <is>
          <t>No Jump Needed</t>
        </is>
      </c>
      <c r="F2094" s="34" t="n"/>
      <c r="G2094" s="34" t="n"/>
      <c r="H2094" s="34" t="n"/>
      <c r="I2094" s="34" t="n"/>
      <c r="J2094" s="16" t="n"/>
    </row>
    <row r="2095">
      <c r="B2095" s="42" t="n"/>
      <c r="D2095" s="12" t="inlineStr">
        <is>
          <t>Cap Throws that work:</t>
        </is>
      </c>
      <c r="E2095" s="34" t="inlineStr">
        <is>
          <t>No Cap Throw Needed</t>
        </is>
      </c>
      <c r="F2095" s="34" t="n"/>
      <c r="G2095" s="34" t="n"/>
      <c r="H2095" s="34" t="n"/>
      <c r="I2095" s="34" t="n"/>
      <c r="J2095" s="16" t="n"/>
    </row>
    <row r="2096">
      <c r="A2096" s="43" t="n"/>
      <c r="B2096" s="44" t="n"/>
      <c r="C2096" s="43" t="n"/>
      <c r="D2096" s="19" t="inlineStr">
        <is>
          <t>Other Required:</t>
        </is>
      </c>
      <c r="E2096" s="35" t="inlineStr">
        <is>
          <t>None</t>
        </is>
      </c>
      <c r="F2096" s="35" t="n"/>
      <c r="G2096" s="35" t="n"/>
      <c r="H2096" s="35" t="n"/>
      <c r="I2096" s="35" t="n"/>
      <c r="J2096" s="16" t="n"/>
    </row>
    <row r="2097">
      <c r="A2097" s="41" t="b">
        <v>1</v>
      </c>
      <c r="B2097" s="31" t="inlineStr">
        <is>
          <t>Moon Kingdom: Jumping High as a Frog</t>
        </is>
      </c>
      <c r="C2097" s="35" t="inlineStr">
        <is>
          <t>Frog</t>
        </is>
      </c>
      <c r="D2097" s="12" t="inlineStr">
        <is>
          <t>Minimum Jump Height:</t>
        </is>
      </c>
      <c r="E2097" s="34" t="inlineStr">
        <is>
          <t>No Jump Needed</t>
        </is>
      </c>
      <c r="F2097" s="34" t="n"/>
      <c r="G2097" s="34" t="n"/>
      <c r="H2097" s="34" t="n"/>
      <c r="I2097" s="34" t="n"/>
      <c r="J2097" s="16" t="n"/>
    </row>
    <row r="2098">
      <c r="B2098" s="42" t="n"/>
      <c r="D2098" s="12" t="inlineStr">
        <is>
          <t>Cap Throws that work:</t>
        </is>
      </c>
      <c r="E2098" s="34" t="inlineStr">
        <is>
          <t>No Cap Throw Needed</t>
        </is>
      </c>
      <c r="F2098" s="34" t="n"/>
      <c r="G2098" s="34" t="n"/>
      <c r="H2098" s="34" t="n"/>
      <c r="I2098" s="34" t="n"/>
      <c r="J2098" s="16" t="n"/>
    </row>
    <row r="2099">
      <c r="A2099" s="43" t="n"/>
      <c r="B2099" s="44" t="n"/>
      <c r="C2099" s="43" t="n"/>
      <c r="D2099" s="19" t="inlineStr">
        <is>
          <t>Other Required:</t>
        </is>
      </c>
      <c r="E2099" s="35" t="inlineStr">
        <is>
          <t>Capture</t>
        </is>
      </c>
      <c r="F2099" s="35" t="n"/>
      <c r="G2099" s="35" t="n"/>
      <c r="H2099" s="35" t="n"/>
      <c r="I2099" s="35" t="n"/>
      <c r="J2099" s="16" t="n"/>
    </row>
    <row r="2100">
      <c r="A2100" s="41" t="b">
        <v>1</v>
      </c>
      <c r="B2100" s="31" t="inlineStr">
        <is>
          <t>Moon Kingdom: Moon Kingdom Timer Challenge 2</t>
        </is>
      </c>
      <c r="C2100" s="35" t="n"/>
      <c r="D2100" s="12" t="inlineStr">
        <is>
          <t>Minimum Jump Height:</t>
        </is>
      </c>
      <c r="E2100" s="34" t="inlineStr">
        <is>
          <t>Single Jump (258)</t>
        </is>
      </c>
      <c r="F2100" s="34" t="n"/>
      <c r="G2100" s="34" t="n"/>
      <c r="H2100" s="34" t="n"/>
      <c r="I2100" s="34" t="n"/>
      <c r="J2100" s="16" t="n"/>
    </row>
    <row r="2101">
      <c r="B2101" s="42" t="n"/>
      <c r="D2101" s="12" t="inlineStr">
        <is>
          <t>Cap Throws that work:</t>
        </is>
      </c>
      <c r="E2101" s="34" t="inlineStr">
        <is>
          <t>No Cap Throw Needed</t>
        </is>
      </c>
      <c r="F2101" s="34" t="n"/>
      <c r="G2101" s="34" t="n"/>
      <c r="H2101" s="34" t="n"/>
      <c r="I2101" s="34" t="n"/>
      <c r="J2101" s="16" t="n"/>
    </row>
    <row r="2102">
      <c r="A2102" s="43" t="n"/>
      <c r="B2102" s="44" t="n"/>
      <c r="C2102" s="43" t="n"/>
      <c r="D2102" s="19" t="inlineStr">
        <is>
          <t>Other Required:</t>
        </is>
      </c>
      <c r="E2102" s="35" t="inlineStr">
        <is>
          <t>None</t>
        </is>
      </c>
      <c r="F2102" s="35" t="n"/>
      <c r="G2102" s="35" t="n"/>
      <c r="H2102" s="35" t="n"/>
      <c r="I2102" s="35" t="n"/>
      <c r="J2102" s="16" t="n"/>
    </row>
    <row r="2103">
      <c r="A2103" s="41" t="b">
        <v>1</v>
      </c>
      <c r="B2103" s="31" t="inlineStr">
        <is>
          <t>Moon Kingdom: Walking on the Moon: Again!</t>
        </is>
      </c>
      <c r="C2103" s="35" t="n"/>
      <c r="D2103" s="12" t="inlineStr">
        <is>
          <t>Minimum Jump Height:</t>
        </is>
      </c>
      <c r="E2103" s="34" t="inlineStr">
        <is>
          <t>No Jump Needed</t>
        </is>
      </c>
      <c r="F2103" s="34" t="n"/>
      <c r="G2103" s="34" t="n"/>
      <c r="H2103" s="34" t="n"/>
      <c r="I2103" s="34" t="n"/>
      <c r="J2103" s="16" t="n"/>
    </row>
    <row r="2104">
      <c r="B2104" s="42" t="n"/>
      <c r="D2104" s="12" t="inlineStr">
        <is>
          <t>Cap Throws that work:</t>
        </is>
      </c>
      <c r="E2104" s="34" t="inlineStr">
        <is>
          <t>No Cap Throw Needed</t>
        </is>
      </c>
      <c r="F2104" s="34" t="n"/>
      <c r="G2104" s="34" t="n"/>
      <c r="H2104" s="34" t="n"/>
      <c r="I2104" s="34" t="n"/>
      <c r="J2104" s="16" t="n"/>
    </row>
    <row r="2105">
      <c r="A2105" s="43" t="n"/>
      <c r="B2105" s="44" t="n"/>
      <c r="C2105" s="43" t="n"/>
      <c r="D2105" s="19" t="inlineStr">
        <is>
          <t>Other Required:</t>
        </is>
      </c>
      <c r="E2105" s="35" t="inlineStr">
        <is>
          <t>None</t>
        </is>
      </c>
      <c r="F2105" s="35" t="n"/>
      <c r="G2105" s="35" t="n"/>
      <c r="H2105" s="35" t="n"/>
      <c r="I2105" s="35" t="n"/>
      <c r="J2105" s="16" t="n"/>
    </row>
    <row r="2106">
      <c r="A2106" s="41" t="b">
        <v>1</v>
      </c>
      <c r="B2106" s="31" t="inlineStr">
        <is>
          <t>Moon Kingdom: Moon Kingdom Master Cup</t>
        </is>
      </c>
      <c r="C2106" s="35" t="n"/>
      <c r="D2106" s="12" t="inlineStr">
        <is>
          <t>Minimum Jump Height:</t>
        </is>
      </c>
      <c r="E2106" s="34" t="inlineStr">
        <is>
          <t>Single Jump (258)</t>
        </is>
      </c>
      <c r="F2106" s="34" t="n"/>
      <c r="G2106" s="34" t="n"/>
      <c r="H2106" s="34" t="n"/>
      <c r="I2106" s="34" t="n"/>
      <c r="J2106" s="16" t="n"/>
    </row>
    <row r="2107">
      <c r="B2107" s="42" t="n"/>
      <c r="D2107" s="12" t="inlineStr">
        <is>
          <t>Cap Throws that work:</t>
        </is>
      </c>
      <c r="E2107" s="34" t="inlineStr">
        <is>
          <t>No Cap Throw Needed</t>
        </is>
      </c>
      <c r="F2107" s="34" t="n"/>
      <c r="G2107" s="34" t="n"/>
      <c r="H2107" s="34" t="n"/>
      <c r="I2107" s="34" t="n"/>
      <c r="J2107" s="16" t="n"/>
    </row>
    <row r="2108">
      <c r="A2108" s="43" t="n"/>
      <c r="B2108" s="44" t="n"/>
      <c r="C2108" s="43" t="n"/>
      <c r="D2108" s="19" t="inlineStr">
        <is>
          <t>Other Required:</t>
        </is>
      </c>
      <c r="E2108" s="35" t="inlineStr">
        <is>
          <t>Wall Slide</t>
        </is>
      </c>
      <c r="F2108" s="35" t="n"/>
      <c r="G2108" s="35" t="n"/>
      <c r="H2108" s="35" t="n"/>
      <c r="I2108" s="35" t="n"/>
      <c r="J2108" s="16" t="n"/>
    </row>
    <row r="2109">
      <c r="A2109" s="41" t="b">
        <v>1</v>
      </c>
      <c r="B2109" s="31" t="inlineStr">
        <is>
          <t>Moon Kingdom: Taking Notes: In Low Gravity</t>
        </is>
      </c>
      <c r="C2109" s="35" t="n"/>
      <c r="D2109" s="12" t="inlineStr">
        <is>
          <t>Minimum Jump Height:</t>
        </is>
      </c>
      <c r="E2109" s="34" t="inlineStr">
        <is>
          <t>Single Jump (258)</t>
        </is>
      </c>
      <c r="F2109" s="34" t="n"/>
      <c r="G2109" s="34" t="n"/>
      <c r="H2109" s="34" t="n"/>
      <c r="I2109" s="34" t="n"/>
      <c r="J2109" s="16" t="n"/>
    </row>
    <row r="2110">
      <c r="B2110" s="42" t="n"/>
      <c r="D2110" s="12" t="inlineStr">
        <is>
          <t>Cap Throws that work:</t>
        </is>
      </c>
      <c r="E2110" s="34" t="inlineStr">
        <is>
          <t>No Cap Throw Needed</t>
        </is>
      </c>
      <c r="F2110" s="34" t="n"/>
      <c r="G2110" s="34" t="n"/>
      <c r="H2110" s="34" t="n"/>
      <c r="I2110" s="34" t="n"/>
      <c r="J2110" s="16" t="n"/>
    </row>
    <row r="2111">
      <c r="A2111" s="43" t="n"/>
      <c r="B2111" s="44" t="n"/>
      <c r="C2111" s="43" t="n"/>
      <c r="D2111" s="19" t="inlineStr">
        <is>
          <t>Other Required:</t>
        </is>
      </c>
      <c r="E2111" s="35" t="inlineStr">
        <is>
          <t>None</t>
        </is>
      </c>
      <c r="F2111" s="35" t="n"/>
      <c r="G2111" s="35" t="n"/>
      <c r="H2111" s="35" t="n"/>
      <c r="I2111" s="35" t="n"/>
      <c r="J2111" s="16" t="n"/>
    </row>
    <row r="2112">
      <c r="A2112" s="41" t="b">
        <v>1</v>
      </c>
      <c r="B2112" s="31" t="inlineStr">
        <is>
          <t>8-Bit Galaxy: Center of the Galaxy</t>
        </is>
      </c>
      <c r="C2112" s="35" t="n"/>
      <c r="D2112" s="12" t="inlineStr">
        <is>
          <t>Minimum Jump Height:</t>
        </is>
      </c>
      <c r="E2112" s="34" t="inlineStr">
        <is>
          <t>Single Jump (258)</t>
        </is>
      </c>
      <c r="F2112" s="34" t="n"/>
      <c r="G2112" s="34" t="n"/>
      <c r="H2112" s="34" t="n"/>
      <c r="I2112" s="34" t="n"/>
      <c r="J2112" s="16" t="n"/>
    </row>
    <row r="2113">
      <c r="B2113" s="42" t="n"/>
      <c r="D2113" s="12" t="inlineStr">
        <is>
          <t>Cap Throws that work:</t>
        </is>
      </c>
      <c r="E2113" s="34" t="inlineStr">
        <is>
          <t>Neutral Throw, Up Throw, Down Throw, Spin Throw</t>
        </is>
      </c>
      <c r="F2113" s="34" t="n"/>
      <c r="G2113" s="34" t="n"/>
      <c r="H2113" s="34" t="n"/>
      <c r="I2113" s="34" t="n"/>
      <c r="J2113" s="16" t="n"/>
    </row>
    <row r="2114">
      <c r="A2114" s="43" t="n"/>
      <c r="B2114" s="44" t="n"/>
      <c r="C2114" s="43" t="n"/>
      <c r="D2114" s="19" t="inlineStr">
        <is>
          <t>Other Required:</t>
        </is>
      </c>
      <c r="E2114" s="35" t="inlineStr">
        <is>
          <t>None</t>
        </is>
      </c>
      <c r="F2114" s="35" t="n"/>
      <c r="G2114" s="35" t="n"/>
      <c r="H2114" s="35" t="n"/>
      <c r="I2114" s="35" t="n"/>
      <c r="J2114" s="16" t="n"/>
    </row>
    <row r="2115">
      <c r="A2115" s="41" t="b">
        <v>1</v>
      </c>
      <c r="B2115" s="31" t="inlineStr">
        <is>
          <t>8-Bit Galaxy: Edge of the Galaxy</t>
        </is>
      </c>
      <c r="C2115" s="35" t="n"/>
      <c r="D2115" s="12" t="inlineStr">
        <is>
          <t>Minimum Jump Height:</t>
        </is>
      </c>
      <c r="E2115" s="34" t="inlineStr">
        <is>
          <t>Single Jump (258)</t>
        </is>
      </c>
      <c r="F2115" s="34" t="n"/>
      <c r="G2115" s="34" t="n"/>
      <c r="H2115" s="34" t="n"/>
      <c r="I2115" s="34" t="n"/>
      <c r="J2115" s="16" t="n"/>
    </row>
    <row r="2116">
      <c r="B2116" s="42" t="n"/>
      <c r="D2116" s="12" t="inlineStr">
        <is>
          <t>Cap Throws that work:</t>
        </is>
      </c>
      <c r="E2116" s="34" t="inlineStr">
        <is>
          <t>Neutral Throw, Up Throw, Down Throw, Spin Throw</t>
        </is>
      </c>
      <c r="F2116" s="34" t="n"/>
      <c r="G2116" s="34" t="n"/>
      <c r="H2116" s="34" t="n"/>
      <c r="I2116" s="34" t="n"/>
      <c r="J2116" s="16" t="n"/>
    </row>
    <row r="2117">
      <c r="A2117" s="43" t="n"/>
      <c r="B2117" s="44" t="n"/>
      <c r="C2117" s="43" t="n"/>
      <c r="D2117" s="19" t="inlineStr">
        <is>
          <t>Other Required:</t>
        </is>
      </c>
      <c r="E2117" s="35" t="inlineStr">
        <is>
          <t>None</t>
        </is>
      </c>
      <c r="F2117" s="35" t="n"/>
      <c r="G2117" s="35" t="n"/>
      <c r="H2117" s="35" t="n"/>
      <c r="I2117" s="35" t="n"/>
      <c r="J2117" s="16" t="n"/>
    </row>
    <row r="2118">
      <c r="A2118" s="41" t="b">
        <v>1</v>
      </c>
      <c r="B2118" s="31" t="inlineStr">
        <is>
          <t>Giant Swings: Navigating Giant Swings</t>
        </is>
      </c>
      <c r="C2118" s="35" t="n"/>
      <c r="D2118" s="12" t="inlineStr">
        <is>
          <t>Minimum Jump Height:</t>
        </is>
      </c>
      <c r="E2118" s="34" t="inlineStr">
        <is>
          <t>Cap Return Jump (400)</t>
        </is>
      </c>
      <c r="F2118" s="34" t="n"/>
      <c r="G2118" s="34" t="n"/>
      <c r="H2118" s="34" t="n"/>
      <c r="I2118" s="34" t="n"/>
      <c r="J2118" s="16" t="n"/>
    </row>
    <row r="2119">
      <c r="B2119" s="42" t="n"/>
      <c r="D2119" s="12" t="inlineStr">
        <is>
          <t>Cap Throws that work:</t>
        </is>
      </c>
      <c r="E2119" s="34" t="inlineStr">
        <is>
          <t>Neutral Throw, Up Throw, Down Throw, Spin Throw</t>
        </is>
      </c>
      <c r="F2119" s="34" t="n"/>
      <c r="G2119" s="34" t="n"/>
      <c r="H2119" s="34" t="n"/>
      <c r="I2119" s="34" t="n"/>
      <c r="J2119" s="16" t="n"/>
    </row>
    <row r="2120">
      <c r="A2120" s="43" t="n"/>
      <c r="B2120" s="44" t="n"/>
      <c r="C2120" s="43" t="n"/>
      <c r="D2120" s="19" t="inlineStr">
        <is>
          <t>Other Required:</t>
        </is>
      </c>
      <c r="E2120" s="35" t="inlineStr">
        <is>
          <t>Wall Slide</t>
        </is>
      </c>
      <c r="F2120" s="35" t="n"/>
      <c r="G2120" s="35" t="n"/>
      <c r="H2120" s="35" t="n"/>
      <c r="I2120" s="35" t="n"/>
      <c r="J2120" s="16" t="n"/>
    </row>
    <row r="2121">
      <c r="A2121" s="41" t="b">
        <v>1</v>
      </c>
      <c r="B2121" s="31" t="inlineStr">
        <is>
          <t>Giant Swings: A Swing on Top of a Swing</t>
        </is>
      </c>
      <c r="C2121" s="35" t="n"/>
      <c r="D2121" s="12" t="inlineStr">
        <is>
          <t>Minimum Jump Height:</t>
        </is>
      </c>
      <c r="E2121" s="34" t="inlineStr">
        <is>
          <t>Cap Return Jump (400)</t>
        </is>
      </c>
      <c r="F2121" s="34" t="n"/>
      <c r="G2121" s="34" t="n"/>
      <c r="H2121" s="34" t="n"/>
      <c r="I2121" s="34" t="n"/>
      <c r="J2121" s="16" t="n"/>
    </row>
    <row r="2122">
      <c r="B2122" s="42" t="n"/>
      <c r="D2122" s="12" t="inlineStr">
        <is>
          <t>Cap Throws that work:</t>
        </is>
      </c>
      <c r="E2122" s="34" t="inlineStr">
        <is>
          <t>Neutral Throw, Up Throw, Down Throw, Spin Throw</t>
        </is>
      </c>
      <c r="F2122" s="34" t="n"/>
      <c r="G2122" s="34" t="n"/>
      <c r="H2122" s="34" t="n"/>
      <c r="I2122" s="34" t="n"/>
      <c r="J2122" s="16" t="n"/>
    </row>
    <row r="2123">
      <c r="A2123" s="43" t="n"/>
      <c r="B2123" s="44" t="n"/>
      <c r="C2123" s="43" t="n"/>
      <c r="D2123" s="19" t="inlineStr">
        <is>
          <t>Other Required:</t>
        </is>
      </c>
      <c r="E2123" s="35" t="inlineStr">
        <is>
          <t>Wall Slide</t>
        </is>
      </c>
      <c r="F2123" s="35" t="n"/>
      <c r="G2123" s="35" t="n"/>
      <c r="H2123" s="35" t="n"/>
      <c r="I2123" s="35" t="n"/>
      <c r="J2123" s="16" t="n"/>
    </row>
    <row r="2124">
      <c r="A2124" s="41" t="b">
        <v>1</v>
      </c>
      <c r="B2124" s="31" t="inlineStr">
        <is>
          <t>Mushroom Kingdom: Perched on the Castle Roof</t>
        </is>
      </c>
      <c r="C2124" s="35" t="inlineStr">
        <is>
          <t>Yoshi</t>
        </is>
      </c>
      <c r="D2124" s="12" t="inlineStr">
        <is>
          <t>Minimum Jump Height:</t>
        </is>
      </c>
      <c r="E2124" s="34" t="inlineStr">
        <is>
          <t>Single Jump (258)</t>
        </is>
      </c>
      <c r="F2124" s="34" t="inlineStr">
        <is>
          <t>Backflip/Vault/Side Flip (496)</t>
        </is>
      </c>
      <c r="G2124" s="34" t="inlineStr">
        <is>
          <t>Triple Jump (550)</t>
        </is>
      </c>
      <c r="H2124" s="34" t="n"/>
      <c r="I2124" s="34" t="n"/>
      <c r="J2124" s="16" t="n"/>
    </row>
    <row r="2125">
      <c r="B2125" s="42" t="n"/>
      <c r="D2125" s="12" t="inlineStr">
        <is>
          <t>Cap Throws that work:</t>
        </is>
      </c>
      <c r="E2125" s="34" t="inlineStr">
        <is>
          <t>Spin Throw, Down Throw, Up Throw, Neutral Throw</t>
        </is>
      </c>
      <c r="F2125" s="34" t="inlineStr">
        <is>
          <t>Spin Throw, Down Throw, Up Throw, Neutral Throw</t>
        </is>
      </c>
      <c r="G2125" s="34" t="inlineStr">
        <is>
          <t>Neutral Throw</t>
        </is>
      </c>
      <c r="H2125" s="34" t="n"/>
      <c r="I2125" s="34" t="n"/>
      <c r="J2125" s="16" t="n"/>
    </row>
    <row r="2126">
      <c r="A2126" s="43" t="n"/>
      <c r="B2126" s="44" t="n"/>
      <c r="C2126" s="43" t="n"/>
      <c r="D2126" s="19" t="inlineStr">
        <is>
          <t>Other Required:</t>
        </is>
      </c>
      <c r="E2126" s="35" t="inlineStr">
        <is>
          <t>Climb, Capture</t>
        </is>
      </c>
      <c r="F2126" s="35" t="inlineStr">
        <is>
          <t>Climb</t>
        </is>
      </c>
      <c r="G2126" s="35" t="inlineStr">
        <is>
          <t>Climb</t>
        </is>
      </c>
      <c r="H2126" s="35" t="n"/>
      <c r="I2126" s="35" t="n"/>
      <c r="J2126" s="16" t="n"/>
    </row>
    <row r="2127">
      <c r="A2127" s="41" t="b">
        <v>1</v>
      </c>
      <c r="B2127" s="31" t="inlineStr">
        <is>
          <t>Mushroom Kingdom: Pops Out of the Tail</t>
        </is>
      </c>
      <c r="C2127" s="35" t="n"/>
      <c r="D2127" s="12" t="inlineStr">
        <is>
          <t>Minimum Jump Height:</t>
        </is>
      </c>
      <c r="E2127" s="34" t="inlineStr">
        <is>
          <t>Long Jump</t>
        </is>
      </c>
      <c r="F2127" s="34" t="n"/>
      <c r="G2127" s="34" t="n"/>
      <c r="H2127" s="34" t="n"/>
      <c r="I2127" s="34" t="n"/>
      <c r="J2127" s="16" t="n"/>
    </row>
    <row r="2128">
      <c r="B2128" s="42" t="n"/>
      <c r="D2128" s="12" t="inlineStr">
        <is>
          <t>Cap Throws that work:</t>
        </is>
      </c>
      <c r="E2128" s="34" t="inlineStr">
        <is>
          <t>Up Throw</t>
        </is>
      </c>
      <c r="F2128" s="34" t="n"/>
      <c r="G2128" s="34" t="n"/>
      <c r="H2128" s="34" t="n"/>
      <c r="I2128" s="34" t="n"/>
      <c r="J2128" s="16" t="n"/>
    </row>
    <row r="2129">
      <c r="A2129" s="43" t="n"/>
      <c r="B2129" s="44" t="n"/>
      <c r="C2129" s="43" t="n"/>
      <c r="D2129" s="19" t="inlineStr">
        <is>
          <t>Other Required:</t>
        </is>
      </c>
      <c r="E2129" s="34" t="inlineStr">
        <is>
          <t>Single Jump (258)</t>
        </is>
      </c>
      <c r="F2129" s="35" t="n"/>
      <c r="G2129" s="35" t="n"/>
      <c r="H2129" s="35" t="n"/>
      <c r="I2129" s="35" t="n"/>
      <c r="J2129" s="16" t="n"/>
    </row>
    <row r="2130">
      <c r="A2130" s="41" t="b">
        <v>1</v>
      </c>
      <c r="B2130" s="31" t="inlineStr">
        <is>
          <t>Mushroom Kingdom: Caught Hopping at Peach's Castle!</t>
        </is>
      </c>
      <c r="C2130" s="35" t="n"/>
      <c r="D2130" s="12" t="inlineStr">
        <is>
          <t>Minimum Jump Height:</t>
        </is>
      </c>
      <c r="E2130" s="34" t="inlineStr">
        <is>
          <t>Long Jump</t>
        </is>
      </c>
      <c r="F2130" s="34" t="inlineStr">
        <is>
          <t>Long Jump</t>
        </is>
      </c>
      <c r="G2130" s="34" t="n"/>
      <c r="H2130" s="34" t="n"/>
      <c r="I2130" s="34" t="n"/>
      <c r="J2130" s="16" t="n"/>
    </row>
    <row r="2131">
      <c r="B2131" s="42" t="n"/>
      <c r="D2131" s="12" t="inlineStr">
        <is>
          <t>Cap Throws that work:</t>
        </is>
      </c>
      <c r="E2131" s="34" t="inlineStr">
        <is>
          <t>No Cap Throw Needed</t>
        </is>
      </c>
      <c r="F2131" s="34" t="inlineStr">
        <is>
          <t>No Cap Throw Needed</t>
        </is>
      </c>
      <c r="G2131" s="34" t="n"/>
      <c r="H2131" s="34" t="n"/>
      <c r="I2131" s="34" t="n"/>
      <c r="J2131" s="16" t="n"/>
    </row>
    <row r="2132">
      <c r="A2132" s="43" t="n"/>
      <c r="B2132" s="44" t="n"/>
      <c r="C2132" s="43" t="n"/>
      <c r="D2132" s="19" t="inlineStr">
        <is>
          <t>Other Required:</t>
        </is>
      </c>
      <c r="E2132" s="35" t="n"/>
      <c r="F2132" s="35" t="inlineStr">
        <is>
          <t>None</t>
        </is>
      </c>
      <c r="G2132" s="35" t="inlineStr">
        <is>
          <t>None</t>
        </is>
      </c>
      <c r="H2132" s="35" t="n"/>
      <c r="I2132" s="35" t="n"/>
      <c r="J2132" s="16" t="n"/>
    </row>
    <row r="2133">
      <c r="A2133" s="41" t="b">
        <v>1</v>
      </c>
      <c r="B2133" s="31" t="inlineStr">
        <is>
          <t>Mushroom Kingdom: Gardening for Toad: Garden Seed</t>
        </is>
      </c>
      <c r="C2133" s="35" t="n"/>
      <c r="D2133" s="12" t="inlineStr">
        <is>
          <t>Minimum Jump Height:</t>
        </is>
      </c>
      <c r="E2133" s="34" t="inlineStr">
        <is>
          <t>Long Jump</t>
        </is>
      </c>
      <c r="F2133" s="34" t="n"/>
      <c r="G2133" s="34" t="n"/>
      <c r="H2133" s="34" t="n"/>
      <c r="I2133" s="34" t="n"/>
      <c r="J2133" s="16" t="n"/>
    </row>
    <row r="2134">
      <c r="B2134" s="42" t="n"/>
      <c r="D2134" s="12" t="inlineStr">
        <is>
          <t>Cap Throws that work:</t>
        </is>
      </c>
      <c r="E2134" s="34" t="inlineStr">
        <is>
          <t>No Cap Throw Needed</t>
        </is>
      </c>
      <c r="F2134" s="34" t="n"/>
      <c r="G2134" s="34" t="n"/>
      <c r="H2134" s="34" t="n"/>
      <c r="I2134" s="34" t="n"/>
      <c r="J2134" s="16" t="n"/>
    </row>
    <row r="2135">
      <c r="A2135" s="43" t="n"/>
      <c r="B2135" s="44" t="n"/>
      <c r="C2135" s="43" t="n"/>
      <c r="D2135" s="19" t="inlineStr">
        <is>
          <t>Other Required:</t>
        </is>
      </c>
      <c r="E2135" s="35" t="n"/>
      <c r="F2135" s="35" t="n"/>
      <c r="G2135" s="35" t="n"/>
      <c r="H2135" s="35" t="n"/>
      <c r="I2135" s="35" t="n"/>
      <c r="J2135" s="16" t="n"/>
    </row>
    <row r="2136">
      <c r="A2136" s="41" t="b">
        <v>1</v>
      </c>
      <c r="B2136" s="31" t="inlineStr">
        <is>
          <t>Mushroom Kingdom: Gardening for Toad: Field Seed</t>
        </is>
      </c>
      <c r="C2136" s="35" t="n"/>
      <c r="D2136" s="12" t="inlineStr">
        <is>
          <t>Minimum Jump Height:</t>
        </is>
      </c>
      <c r="E2136" s="34" t="inlineStr">
        <is>
          <t>No Jump Needed</t>
        </is>
      </c>
      <c r="F2136" s="34" t="n"/>
      <c r="G2136" s="34" t="n"/>
      <c r="H2136" s="34" t="n"/>
      <c r="I2136" s="34" t="n"/>
      <c r="J2136" s="16" t="n"/>
    </row>
    <row r="2137">
      <c r="B2137" s="42" t="n"/>
      <c r="D2137" s="12" t="inlineStr">
        <is>
          <t>Cap Throws that work:</t>
        </is>
      </c>
      <c r="E2137" s="34" t="inlineStr">
        <is>
          <t>No Cap Throw Needed</t>
        </is>
      </c>
      <c r="F2137" s="34" t="n"/>
      <c r="G2137" s="34" t="n"/>
      <c r="H2137" s="34" t="n"/>
      <c r="I2137" s="34" t="n"/>
      <c r="J2137" s="16" t="n"/>
    </row>
    <row r="2138">
      <c r="A2138" s="43" t="n"/>
      <c r="B2138" s="44" t="n"/>
      <c r="C2138" s="43" t="n"/>
      <c r="D2138" s="19" t="inlineStr">
        <is>
          <t>Other Required:</t>
        </is>
      </c>
      <c r="E2138" s="35" t="inlineStr">
        <is>
          <t>None</t>
        </is>
      </c>
      <c r="F2138" s="35" t="n"/>
      <c r="G2138" s="35" t="n"/>
      <c r="H2138" s="35" t="n"/>
      <c r="I2138" s="35" t="n"/>
      <c r="J2138" s="16" t="n"/>
    </row>
    <row r="2139">
      <c r="A2139" s="41" t="b">
        <v>1</v>
      </c>
      <c r="B2139" s="31" t="inlineStr">
        <is>
          <t>Mushroom Kingdom: Gardening for Toad: Pasture Seed</t>
        </is>
      </c>
      <c r="C2139" s="35" t="n"/>
      <c r="D2139" s="12" t="inlineStr">
        <is>
          <t>Minimum Jump Height:</t>
        </is>
      </c>
      <c r="E2139" s="34" t="inlineStr">
        <is>
          <t>Long Jump</t>
        </is>
      </c>
      <c r="F2139" s="34" t="n"/>
      <c r="G2139" s="34" t="n"/>
      <c r="H2139" s="34" t="n"/>
      <c r="I2139" s="34" t="n"/>
      <c r="J2139" s="16" t="n"/>
    </row>
    <row r="2140">
      <c r="B2140" s="42" t="n"/>
      <c r="D2140" s="12" t="inlineStr">
        <is>
          <t>Cap Throws that work:</t>
        </is>
      </c>
      <c r="E2140" s="34" t="inlineStr">
        <is>
          <t>No Cap Throw Needed</t>
        </is>
      </c>
      <c r="F2140" s="34" t="n"/>
      <c r="G2140" s="34" t="n"/>
      <c r="H2140" s="34" t="n"/>
      <c r="I2140" s="34" t="n"/>
      <c r="J2140" s="16" t="n"/>
    </row>
    <row r="2141">
      <c r="A2141" s="43" t="n"/>
      <c r="B2141" s="44" t="n"/>
      <c r="C2141" s="43" t="n"/>
      <c r="D2141" s="19" t="inlineStr">
        <is>
          <t>Other Required:</t>
        </is>
      </c>
      <c r="E2141" s="35" t="inlineStr">
        <is>
          <t>None</t>
        </is>
      </c>
      <c r="F2141" s="35" t="n"/>
      <c r="G2141" s="35" t="n"/>
      <c r="H2141" s="35" t="n"/>
      <c r="I2141" s="35" t="n"/>
      <c r="J2141" s="16" t="n"/>
    </row>
    <row r="2142">
      <c r="A2142" s="41" t="b">
        <v>1</v>
      </c>
      <c r="B2142" s="31" t="inlineStr">
        <is>
          <t>Mushroom Kingdom: Gardening for Toad: Lake Seed</t>
        </is>
      </c>
      <c r="C2142" s="35" t="n"/>
      <c r="D2142" s="12" t="inlineStr">
        <is>
          <t>Minimum Jump Height:</t>
        </is>
      </c>
      <c r="E2142" s="34" t="inlineStr">
        <is>
          <t>Long Jump</t>
        </is>
      </c>
      <c r="F2142" s="34" t="n"/>
      <c r="G2142" s="34" t="n"/>
      <c r="H2142" s="34" t="n"/>
      <c r="I2142" s="34" t="n"/>
      <c r="J2142" s="16" t="n"/>
    </row>
    <row r="2143">
      <c r="B2143" s="42" t="n"/>
      <c r="D2143" s="12" t="inlineStr">
        <is>
          <t>Cap Throws that work:</t>
        </is>
      </c>
      <c r="E2143" s="34" t="inlineStr">
        <is>
          <t>No Cap Throw Needed</t>
        </is>
      </c>
      <c r="F2143" s="34" t="n"/>
      <c r="G2143" s="34" t="n"/>
      <c r="H2143" s="34" t="n"/>
      <c r="I2143" s="34" t="n"/>
      <c r="J2143" s="16" t="n"/>
    </row>
    <row r="2144">
      <c r="A2144" s="43" t="n"/>
      <c r="B2144" s="44" t="n"/>
      <c r="C2144" s="43" t="n"/>
      <c r="D2144" s="19" t="inlineStr">
        <is>
          <t>Other Required:</t>
        </is>
      </c>
      <c r="E2144" s="35" t="inlineStr">
        <is>
          <t>None</t>
        </is>
      </c>
      <c r="F2144" s="35" t="n"/>
      <c r="G2144" s="35" t="n"/>
      <c r="H2144" s="35" t="n"/>
      <c r="I2144" s="35" t="n"/>
      <c r="J2144" s="16" t="n"/>
    </row>
    <row r="2145">
      <c r="A2145" s="41" t="b">
        <v>1</v>
      </c>
      <c r="B2145" s="31" t="inlineStr">
        <is>
          <t>Mushroom Kingdom: Grow a Flower Garden</t>
        </is>
      </c>
      <c r="C2145" s="35" t="n"/>
      <c r="D2145" s="12" t="inlineStr">
        <is>
          <t>Minimum Jump Height:</t>
        </is>
      </c>
      <c r="E2145" s="34" t="inlineStr">
        <is>
          <t>Long Jump</t>
        </is>
      </c>
      <c r="F2145" s="34" t="n"/>
      <c r="G2145" s="34" t="n"/>
      <c r="H2145" s="34" t="n"/>
      <c r="I2145" s="34" t="n"/>
      <c r="J2145" s="16" t="n"/>
    </row>
    <row r="2146">
      <c r="B2146" s="42" t="n"/>
      <c r="D2146" s="12" t="inlineStr">
        <is>
          <t>Cap Throws that work:</t>
        </is>
      </c>
      <c r="E2146" s="34" t="inlineStr">
        <is>
          <t>Neutral Throw, Spin Throw, Down Throw, Up Throw</t>
        </is>
      </c>
      <c r="F2146" s="34" t="n"/>
      <c r="G2146" s="34" t="n"/>
      <c r="H2146" s="34" t="n"/>
      <c r="I2146" s="34" t="n"/>
      <c r="J2146" s="16" t="n"/>
    </row>
    <row r="2147">
      <c r="A2147" s="43" t="n"/>
      <c r="B2147" s="44" t="n"/>
      <c r="C2147" s="43" t="n"/>
      <c r="D2147" s="19" t="inlineStr">
        <is>
          <t>Other Required:</t>
        </is>
      </c>
      <c r="E2147" s="35" t="inlineStr">
        <is>
          <t>None</t>
        </is>
      </c>
      <c r="F2147" s="35" t="n"/>
      <c r="G2147" s="35" t="n"/>
      <c r="H2147" s="35" t="n"/>
      <c r="I2147" s="35" t="n"/>
      <c r="J2147" s="16" t="n"/>
    </row>
    <row r="2148">
      <c r="A2148" s="41" t="b">
        <v>1</v>
      </c>
      <c r="B2148" s="31" t="inlineStr">
        <is>
          <t>Mushroom Kingdom: Mushroom Kingdom Timer Challenge</t>
        </is>
      </c>
      <c r="C2148" s="35" t="n"/>
      <c r="D2148" s="12" t="inlineStr">
        <is>
          <t>Minimum Jump Height:</t>
        </is>
      </c>
      <c r="E2148" s="34" t="inlineStr">
        <is>
          <t>Long Jump</t>
        </is>
      </c>
      <c r="F2148" s="34" t="inlineStr">
        <is>
          <t>No Jump Needed</t>
        </is>
      </c>
      <c r="G2148" s="34" t="n"/>
      <c r="H2148" s="34" t="n"/>
      <c r="I2148" s="34" t="n"/>
      <c r="J2148" s="16" t="n"/>
    </row>
    <row r="2149">
      <c r="B2149" s="42" t="n"/>
      <c r="D2149" s="12" t="inlineStr">
        <is>
          <t>Cap Throws that work:</t>
        </is>
      </c>
      <c r="E2149" s="34" t="inlineStr">
        <is>
          <t>Neutral Throw, Up Throw, Down Throw, Spin Throw</t>
        </is>
      </c>
      <c r="F2149" s="34" t="inlineStr">
        <is>
          <t>Neutral Throw, Up Throw, Down Throw, Spin Throw</t>
        </is>
      </c>
      <c r="G2149" s="34" t="n"/>
      <c r="H2149" s="34" t="n"/>
      <c r="I2149" s="34" t="n"/>
      <c r="J2149" s="16" t="n"/>
    </row>
    <row r="2150">
      <c r="A2150" s="43" t="n"/>
      <c r="B2150" s="44" t="n"/>
      <c r="C2150" s="43" t="n"/>
      <c r="D2150" s="19" t="inlineStr">
        <is>
          <t>Other Required:</t>
        </is>
      </c>
      <c r="E2150" s="35" t="inlineStr">
        <is>
          <t>Roll</t>
        </is>
      </c>
      <c r="F2150" s="35" t="n"/>
      <c r="G2150" s="35" t="n"/>
      <c r="H2150" s="35" t="n"/>
      <c r="I2150" s="35" t="n"/>
      <c r="J2150" s="16" t="n"/>
    </row>
    <row r="2151">
      <c r="A2151" s="41" t="b">
        <v>1</v>
      </c>
      <c r="B2151" s="31" t="inlineStr">
        <is>
          <t>Mushroom Kingdom: Found at Peach's Castle! Good Dog!</t>
        </is>
      </c>
      <c r="C2151" s="35" t="n"/>
      <c r="D2151" s="12" t="inlineStr">
        <is>
          <t>Minimum Jump Height:</t>
        </is>
      </c>
      <c r="E2151" s="34" t="inlineStr">
        <is>
          <t>Long Jump</t>
        </is>
      </c>
      <c r="F2151" s="34" t="n"/>
      <c r="G2151" s="34" t="n"/>
      <c r="H2151" s="34" t="n"/>
      <c r="I2151" s="34" t="n"/>
      <c r="J2151" s="16" t="n"/>
    </row>
    <row r="2152">
      <c r="B2152" s="42" t="n"/>
      <c r="D2152" s="12" t="inlineStr">
        <is>
          <t>Cap Throws that work:</t>
        </is>
      </c>
      <c r="E2152" s="34" t="inlineStr">
        <is>
          <t>No Cap Throw Needed</t>
        </is>
      </c>
      <c r="F2152" s="34" t="n"/>
      <c r="G2152" s="34" t="n"/>
      <c r="H2152" s="34" t="n"/>
      <c r="I2152" s="34" t="n"/>
      <c r="J2152" s="16" t="n"/>
    </row>
    <row r="2153">
      <c r="A2153" s="43" t="n"/>
      <c r="B2153" s="44" t="n"/>
      <c r="C2153" s="43" t="n"/>
      <c r="D2153" s="19" t="inlineStr">
        <is>
          <t>Other Required:</t>
        </is>
      </c>
      <c r="E2153" s="35" t="inlineStr">
        <is>
          <t>None</t>
        </is>
      </c>
      <c r="F2153" s="35" t="n"/>
      <c r="G2153" s="35" t="n"/>
      <c r="H2153" s="35" t="n"/>
      <c r="I2153" s="35" t="n"/>
      <c r="J2153" s="16" t="n"/>
    </row>
    <row r="2154">
      <c r="A2154" s="41" t="b">
        <v>1</v>
      </c>
      <c r="B2154" s="31" t="inlineStr">
        <is>
          <t>Mushroom Kingdom: Taking Notes: Around the Well</t>
        </is>
      </c>
      <c r="C2154" s="35" t="n"/>
      <c r="D2154" s="12" t="inlineStr">
        <is>
          <t>Minimum Jump Height:</t>
        </is>
      </c>
      <c r="E2154" s="34" t="inlineStr">
        <is>
          <t>Long Jump</t>
        </is>
      </c>
      <c r="F2154" s="34" t="n"/>
      <c r="G2154" s="34" t="n"/>
      <c r="H2154" s="34" t="n"/>
      <c r="I2154" s="34" t="n"/>
      <c r="J2154" s="16" t="n"/>
    </row>
    <row r="2155">
      <c r="B2155" s="42" t="n"/>
      <c r="D2155" s="12" t="inlineStr">
        <is>
          <t>Cap Throws that work:</t>
        </is>
      </c>
      <c r="E2155" s="34" t="inlineStr">
        <is>
          <t>No Cap Throw Needed</t>
        </is>
      </c>
      <c r="F2155" s="34" t="n"/>
      <c r="G2155" s="34" t="n"/>
      <c r="H2155" s="34" t="n"/>
      <c r="I2155" s="34" t="n"/>
      <c r="J2155" s="16" t="n"/>
    </row>
    <row r="2156">
      <c r="A2156" s="43" t="n"/>
      <c r="B2156" s="44" t="n"/>
      <c r="C2156" s="43" t="n"/>
      <c r="D2156" s="19" t="inlineStr">
        <is>
          <t>Other Required:</t>
        </is>
      </c>
      <c r="E2156" s="35" t="inlineStr">
        <is>
          <t>None</t>
        </is>
      </c>
      <c r="F2156" s="35" t="n"/>
      <c r="G2156" s="35" t="n"/>
      <c r="H2156" s="35" t="n"/>
      <c r="I2156" s="35" t="n"/>
      <c r="J2156" s="16" t="n"/>
    </row>
    <row r="2157">
      <c r="A2157" s="41" t="b">
        <v>1</v>
      </c>
      <c r="B2157" s="31" t="inlineStr">
        <is>
          <t>Mushroom Kingdom: Herding Sheep at Peach's Castle</t>
        </is>
      </c>
      <c r="C2157" s="35" t="n"/>
      <c r="D2157" s="12" t="inlineStr">
        <is>
          <t>Minimum Jump Height:</t>
        </is>
      </c>
      <c r="E2157" s="34" t="inlineStr">
        <is>
          <t>Long Jump</t>
        </is>
      </c>
      <c r="F2157" s="34" t="n"/>
      <c r="G2157" s="34" t="n"/>
      <c r="H2157" s="34" t="n"/>
      <c r="I2157" s="34" t="n"/>
      <c r="J2157" s="16" t="n"/>
    </row>
    <row r="2158">
      <c r="B2158" s="42" t="n"/>
      <c r="D2158" s="12" t="inlineStr">
        <is>
          <t>Cap Throws that work:</t>
        </is>
      </c>
      <c r="E2158" s="34" t="inlineStr">
        <is>
          <t>Neutral Throw, Up Throw, Down Throw, Spin Throw</t>
        </is>
      </c>
      <c r="F2158" s="34" t="n"/>
      <c r="G2158" s="34" t="n"/>
      <c r="H2158" s="34" t="n"/>
      <c r="I2158" s="34" t="n"/>
      <c r="J2158" s="16" t="n"/>
    </row>
    <row r="2159">
      <c r="A2159" s="43" t="n"/>
      <c r="B2159" s="44" t="n"/>
      <c r="C2159" s="43" t="n"/>
      <c r="D2159" s="19" t="inlineStr">
        <is>
          <t>Other Required:</t>
        </is>
      </c>
      <c r="E2159" s="35" t="inlineStr">
        <is>
          <t>None</t>
        </is>
      </c>
      <c r="F2159" s="35" t="n"/>
      <c r="G2159" s="35" t="n"/>
      <c r="H2159" s="35" t="n"/>
      <c r="I2159" s="35" t="n"/>
      <c r="J2159" s="16" t="n"/>
    </row>
    <row r="2160">
      <c r="A2160" s="41" t="b">
        <v>1</v>
      </c>
      <c r="B2160" s="31" t="inlineStr">
        <is>
          <t>Mushroom Kingdom: Gobbling Fruit with Yoshi</t>
        </is>
      </c>
      <c r="C2160" s="35" t="inlineStr">
        <is>
          <t>Yoshi</t>
        </is>
      </c>
      <c r="D2160" s="12" t="inlineStr">
        <is>
          <t>Minimum Jump Height:</t>
        </is>
      </c>
      <c r="E2160" s="34" t="inlineStr">
        <is>
          <t>Single Jump (258)</t>
        </is>
      </c>
      <c r="F2160" s="34" t="n"/>
      <c r="G2160" s="34" t="n"/>
      <c r="H2160" s="34" t="n"/>
      <c r="I2160" s="34" t="n"/>
      <c r="J2160" s="16" t="n"/>
    </row>
    <row r="2161">
      <c r="B2161" s="42" t="n"/>
      <c r="D2161" s="12" t="inlineStr">
        <is>
          <t>Cap Throws that work:</t>
        </is>
      </c>
      <c r="E2161" s="34" t="inlineStr">
        <is>
          <t>Neutral Throw, Up Throw, Down Throw, Spin Throw</t>
        </is>
      </c>
      <c r="F2161" s="34" t="n"/>
      <c r="G2161" s="34" t="n"/>
      <c r="H2161" s="34" t="n"/>
      <c r="I2161" s="34" t="n"/>
      <c r="J2161" s="16" t="n"/>
    </row>
    <row r="2162">
      <c r="A2162" s="43" t="n"/>
      <c r="B2162" s="44" t="n"/>
      <c r="C2162" s="43" t="n"/>
      <c r="D2162" s="19" t="inlineStr">
        <is>
          <t>Other Required:</t>
        </is>
      </c>
      <c r="E2162" s="35" t="inlineStr">
        <is>
          <t>Capture</t>
        </is>
      </c>
      <c r="F2162" s="35" t="n"/>
      <c r="G2162" s="35" t="n"/>
      <c r="H2162" s="35" t="n"/>
      <c r="I2162" s="35" t="n"/>
      <c r="J2162" s="16" t="n"/>
    </row>
    <row r="2163">
      <c r="A2163" s="41" t="b">
        <v>1</v>
      </c>
      <c r="B2163" s="31" t="inlineStr">
        <is>
          <t>Mushroom Kingdom: Yoshi's Second Helping!</t>
        </is>
      </c>
      <c r="C2163" s="35" t="inlineStr">
        <is>
          <t>Yoshi</t>
        </is>
      </c>
      <c r="D2163" s="12" t="inlineStr">
        <is>
          <t>Minimum Jump Height:</t>
        </is>
      </c>
      <c r="E2163" s="34" t="inlineStr">
        <is>
          <t>Single Jump (258)</t>
        </is>
      </c>
      <c r="F2163" s="34" t="n"/>
      <c r="G2163" s="34" t="n"/>
      <c r="H2163" s="34" t="n"/>
      <c r="I2163" s="34" t="n"/>
      <c r="J2163" s="16" t="n"/>
    </row>
    <row r="2164">
      <c r="B2164" s="42" t="n"/>
      <c r="D2164" s="12" t="inlineStr">
        <is>
          <t>Cap Throws that work:</t>
        </is>
      </c>
      <c r="E2164" s="34" t="inlineStr">
        <is>
          <t>Neutral Throw, Up Throw, Down Throw, Spin Throw</t>
        </is>
      </c>
      <c r="F2164" s="34" t="n"/>
      <c r="G2164" s="34" t="n"/>
      <c r="H2164" s="34" t="n"/>
      <c r="I2164" s="34" t="n"/>
      <c r="J2164" s="16" t="n"/>
    </row>
    <row r="2165">
      <c r="A2165" s="43" t="n"/>
      <c r="B2165" s="44" t="n"/>
      <c r="C2165" s="43" t="n"/>
      <c r="D2165" s="19" t="inlineStr">
        <is>
          <t>Other Required:</t>
        </is>
      </c>
      <c r="E2165" s="35" t="inlineStr">
        <is>
          <t>Capture</t>
        </is>
      </c>
      <c r="F2165" s="35" t="n"/>
      <c r="G2165" s="35" t="n"/>
      <c r="H2165" s="35" t="n"/>
      <c r="I2165" s="35" t="n"/>
      <c r="J2165" s="16" t="n"/>
    </row>
    <row r="2166">
      <c r="A2166" s="41" t="b">
        <v>1</v>
      </c>
      <c r="B2166" s="31" t="inlineStr">
        <is>
          <t>Mushroom Kingdom: Yoshi's All Filled Up!</t>
        </is>
      </c>
      <c r="C2166" s="35" t="inlineStr">
        <is>
          <t>Yoshi</t>
        </is>
      </c>
      <c r="D2166" s="12" t="inlineStr">
        <is>
          <t>Minimum Jump Height:</t>
        </is>
      </c>
      <c r="E2166" s="34" t="inlineStr">
        <is>
          <t>Single Jump (258)</t>
        </is>
      </c>
      <c r="F2166" s="34" t="n"/>
      <c r="G2166" s="34" t="n"/>
      <c r="H2166" s="34" t="n"/>
      <c r="I2166" s="34" t="n"/>
      <c r="J2166" s="16" t="n"/>
    </row>
    <row r="2167">
      <c r="B2167" s="42" t="n"/>
      <c r="D2167" s="12" t="inlineStr">
        <is>
          <t>Cap Throws that work:</t>
        </is>
      </c>
      <c r="E2167" s="34" t="inlineStr">
        <is>
          <t>Neutral Throw, Up Throw, Down Throw, Spin Throw</t>
        </is>
      </c>
      <c r="F2167" s="34" t="n"/>
      <c r="G2167" s="34" t="n"/>
      <c r="H2167" s="34" t="n"/>
      <c r="I2167" s="34" t="n"/>
      <c r="J2167" s="16" t="n"/>
    </row>
    <row r="2168">
      <c r="A2168" s="43" t="n"/>
      <c r="B2168" s="44" t="n"/>
      <c r="C2168" s="43" t="n"/>
      <c r="D2168" s="19" t="inlineStr">
        <is>
          <t>Other Required:</t>
        </is>
      </c>
      <c r="E2168" s="35" t="inlineStr">
        <is>
          <t>Capture</t>
        </is>
      </c>
      <c r="F2168" s="35" t="n"/>
      <c r="G2168" s="35" t="n"/>
      <c r="H2168" s="35" t="n"/>
      <c r="I2168" s="35" t="n"/>
      <c r="J2168" s="16" t="n"/>
    </row>
    <row r="2169">
      <c r="A2169" s="41" t="b">
        <v>1</v>
      </c>
      <c r="B2169" s="31" t="inlineStr">
        <is>
          <t>Mushroom Kingdom: Love at Peach's Castle</t>
        </is>
      </c>
      <c r="C2169" s="35" t="inlineStr">
        <is>
          <t>Goomba</t>
        </is>
      </c>
      <c r="D2169" s="12" t="inlineStr">
        <is>
          <t>Minimum Jump Height:</t>
        </is>
      </c>
      <c r="E2169" s="34" t="inlineStr">
        <is>
          <t>Single Jump (258)</t>
        </is>
      </c>
      <c r="F2169" s="34" t="n"/>
      <c r="G2169" s="34" t="n"/>
      <c r="H2169" s="34" t="n"/>
      <c r="I2169" s="34" t="n"/>
      <c r="J2169" s="16" t="n"/>
    </row>
    <row r="2170">
      <c r="B2170" s="42" t="n"/>
      <c r="D2170" s="12" t="inlineStr">
        <is>
          <t>Cap Throws that work:</t>
        </is>
      </c>
      <c r="E2170" s="34" t="inlineStr">
        <is>
          <t>Neutral Throw, Up Throw, Down Throw, Spin Throw</t>
        </is>
      </c>
      <c r="F2170" s="34" t="n"/>
      <c r="G2170" s="34" t="n"/>
      <c r="H2170" s="34" t="n"/>
      <c r="I2170" s="34" t="n"/>
      <c r="J2170" s="16" t="n"/>
    </row>
    <row r="2171">
      <c r="A2171" s="43" t="n"/>
      <c r="B2171" s="44" t="n"/>
      <c r="C2171" s="43" t="n"/>
      <c r="D2171" s="19" t="inlineStr">
        <is>
          <t>Other Required:</t>
        </is>
      </c>
      <c r="E2171" s="35" t="inlineStr">
        <is>
          <t>Capture</t>
        </is>
      </c>
      <c r="F2171" s="35" t="n"/>
      <c r="G2171" s="35" t="n"/>
      <c r="H2171" s="35" t="n"/>
      <c r="I2171" s="35" t="n"/>
      <c r="J2171" s="16" t="n"/>
    </row>
    <row r="2172">
      <c r="A2172" s="41" t="b">
        <v>1</v>
      </c>
      <c r="B2172" s="31" t="inlineStr">
        <is>
          <t>Mushroom Kingdom: Toad Defender</t>
        </is>
      </c>
      <c r="C2172" s="35" t="inlineStr">
        <is>
          <t>Goomba</t>
        </is>
      </c>
      <c r="D2172" s="12" t="inlineStr">
        <is>
          <t>Minimum Jump Height:</t>
        </is>
      </c>
      <c r="E2172" s="34" t="inlineStr">
        <is>
          <t>Single Jump (258)</t>
        </is>
      </c>
      <c r="F2172" s="34" t="n"/>
      <c r="G2172" s="34" t="n"/>
      <c r="H2172" s="34" t="n"/>
      <c r="I2172" s="34" t="n"/>
      <c r="J2172" s="16" t="n"/>
    </row>
    <row r="2173">
      <c r="B2173" s="42" t="n"/>
      <c r="D2173" s="12" t="inlineStr">
        <is>
          <t>Cap Throws that work:</t>
        </is>
      </c>
      <c r="E2173" s="34" t="inlineStr">
        <is>
          <t>Neutral Throw, Up Throw, Down Throw, Spin Throw</t>
        </is>
      </c>
      <c r="F2173" s="34" t="n"/>
      <c r="G2173" s="34" t="n"/>
      <c r="H2173" s="34" t="n"/>
      <c r="I2173" s="34" t="n"/>
      <c r="J2173" s="16" t="n"/>
    </row>
    <row r="2174">
      <c r="A2174" s="43" t="n"/>
      <c r="B2174" s="44" t="n"/>
      <c r="C2174" s="43" t="n"/>
      <c r="D2174" s="19" t="inlineStr">
        <is>
          <t>Other Required:</t>
        </is>
      </c>
      <c r="E2174" s="35" t="inlineStr">
        <is>
          <t>Capture</t>
        </is>
      </c>
      <c r="F2174" s="35" t="n"/>
      <c r="G2174" s="35" t="n"/>
      <c r="H2174" s="35" t="n"/>
      <c r="I2174" s="35" t="n"/>
      <c r="J2174" s="16" t="n"/>
    </row>
    <row r="2175">
      <c r="A2175" s="41" t="b">
        <v>1</v>
      </c>
      <c r="B2175" s="31" t="inlineStr">
        <is>
          <t>Mushroom Kingdom: Forever Onward, Captain Toad!</t>
        </is>
      </c>
      <c r="C2175" s="35" t="n"/>
      <c r="D2175" s="12" t="inlineStr">
        <is>
          <t>Minimum Jump Height:</t>
        </is>
      </c>
      <c r="E2175" s="34" t="inlineStr">
        <is>
          <t>Backflip/Vault/Side Flip (496)</t>
        </is>
      </c>
      <c r="F2175" s="34" t="n"/>
      <c r="G2175" s="34" t="n"/>
      <c r="H2175" s="34" t="n"/>
      <c r="I2175" s="34" t="n"/>
      <c r="J2175" s="16" t="n"/>
    </row>
    <row r="2176">
      <c r="B2176" s="42" t="n"/>
      <c r="D2176" s="12" t="inlineStr">
        <is>
          <t>Cap Throws that work:</t>
        </is>
      </c>
      <c r="E2176" s="34" t="inlineStr">
        <is>
          <t>Neutral Throw, Up Throw, Down Throw, Spin Throw, No Cap Throw Needed</t>
        </is>
      </c>
      <c r="F2176" s="34" t="n"/>
      <c r="G2176" s="34" t="n"/>
      <c r="H2176" s="34" t="n"/>
      <c r="I2176" s="34" t="n"/>
      <c r="J2176" s="16" t="n"/>
    </row>
    <row r="2177">
      <c r="A2177" s="43" t="n"/>
      <c r="B2177" s="44" t="n"/>
      <c r="C2177" s="43" t="n"/>
      <c r="D2177" s="19" t="inlineStr">
        <is>
          <t>Other Required:</t>
        </is>
      </c>
      <c r="E2177" s="35" t="inlineStr">
        <is>
          <t>Dive</t>
        </is>
      </c>
      <c r="F2177" s="35" t="n"/>
      <c r="G2177" s="35" t="n"/>
      <c r="H2177" s="35" t="n"/>
      <c r="I2177" s="35" t="n"/>
      <c r="J2177" s="16" t="n"/>
    </row>
    <row r="2178">
      <c r="A2178" s="41" t="b">
        <v>1</v>
      </c>
      <c r="B2178" s="31" t="inlineStr">
        <is>
          <t>Mushroom Kingdom: Jammin' in the Mushroom Kingdom</t>
        </is>
      </c>
      <c r="C2178" s="35" t="n"/>
      <c r="D2178" s="12" t="inlineStr">
        <is>
          <t>Minimum Jump Height:</t>
        </is>
      </c>
      <c r="E2178" s="34" t="inlineStr">
        <is>
          <t>No Jump Needed</t>
        </is>
      </c>
      <c r="F2178" s="34" t="n"/>
      <c r="G2178" s="34" t="n"/>
      <c r="H2178" s="34" t="n"/>
      <c r="I2178" s="34" t="n"/>
      <c r="J2178" s="16" t="n"/>
    </row>
    <row r="2179">
      <c r="B2179" s="42" t="n"/>
      <c r="D2179" s="12" t="inlineStr">
        <is>
          <t>Cap Throws that work:</t>
        </is>
      </c>
      <c r="E2179" s="34" t="inlineStr">
        <is>
          <t>No Cap Throw Needed</t>
        </is>
      </c>
      <c r="F2179" s="34" t="n"/>
      <c r="G2179" s="34" t="n"/>
      <c r="H2179" s="34" t="n"/>
      <c r="I2179" s="34" t="n"/>
      <c r="J2179" s="16" t="n"/>
    </row>
    <row r="2180">
      <c r="A2180" s="43" t="n"/>
      <c r="B2180" s="44" t="n"/>
      <c r="C2180" s="43" t="n"/>
      <c r="D2180" s="19" t="inlineStr">
        <is>
          <t>Other Required:</t>
        </is>
      </c>
      <c r="E2180" s="35" t="inlineStr">
        <is>
          <t>None</t>
        </is>
      </c>
      <c r="F2180" s="35" t="n"/>
      <c r="G2180" s="35" t="n"/>
      <c r="H2180" s="35" t="n"/>
      <c r="I2180" s="35" t="n"/>
      <c r="J2180" s="16" t="n"/>
    </row>
    <row r="2181">
      <c r="A2181" s="41" t="b">
        <v>1</v>
      </c>
      <c r="B2181" s="31" t="inlineStr">
        <is>
          <t>Crazy Cap Store (Mushroom): Shopping Near Peach's Castle</t>
        </is>
      </c>
      <c r="C2181" s="35" t="n"/>
      <c r="D2181" s="12" t="inlineStr">
        <is>
          <t>Minimum Jump Height:</t>
        </is>
      </c>
      <c r="E2181" s="34" t="inlineStr">
        <is>
          <t>No Jump Needed</t>
        </is>
      </c>
      <c r="F2181" s="34" t="n"/>
      <c r="G2181" s="34" t="n"/>
      <c r="H2181" s="34" t="n"/>
      <c r="I2181" s="34" t="n"/>
      <c r="J2181" s="16" t="n"/>
    </row>
    <row r="2182">
      <c r="B2182" s="42" t="n"/>
      <c r="D2182" s="12" t="inlineStr">
        <is>
          <t>Cap Throws that work:</t>
        </is>
      </c>
      <c r="E2182" s="34" t="inlineStr">
        <is>
          <t>No Cap Throw Needed</t>
        </is>
      </c>
      <c r="F2182" s="34" t="n"/>
      <c r="G2182" s="34" t="n"/>
      <c r="H2182" s="34" t="n"/>
      <c r="I2182" s="34" t="n"/>
      <c r="J2182" s="16" t="n"/>
    </row>
    <row r="2183">
      <c r="A2183" s="43" t="n"/>
      <c r="B2183" s="44" t="n"/>
      <c r="C2183" s="43" t="n"/>
      <c r="D2183" s="19" t="inlineStr">
        <is>
          <t>Other Required:</t>
        </is>
      </c>
      <c r="E2183" s="35" t="inlineStr">
        <is>
          <t>None</t>
        </is>
      </c>
      <c r="F2183" s="35" t="n"/>
      <c r="G2183" s="35" t="n"/>
      <c r="H2183" s="35" t="n"/>
      <c r="I2183" s="35" t="n"/>
      <c r="J2183" s="16" t="n"/>
    </row>
    <row r="2184">
      <c r="A2184" s="41" t="b">
        <v>1</v>
      </c>
      <c r="B2184" s="31" t="inlineStr">
        <is>
          <t>Mushroom Kingdom: Mushroom Kingdom Regular Cup</t>
        </is>
      </c>
      <c r="C2184" s="35" t="n"/>
      <c r="D2184" s="12" t="inlineStr">
        <is>
          <t>Minimum Jump Height:</t>
        </is>
      </c>
      <c r="E2184" s="34" t="inlineStr">
        <is>
          <t>No Jump Needed</t>
        </is>
      </c>
      <c r="F2184" s="34" t="n"/>
      <c r="G2184" s="34" t="n"/>
      <c r="H2184" s="34" t="n"/>
      <c r="I2184" s="34" t="n"/>
      <c r="J2184" s="16" t="n"/>
    </row>
    <row r="2185">
      <c r="B2185" s="42" t="n"/>
      <c r="D2185" s="12" t="inlineStr">
        <is>
          <t>Cap Throws that work:</t>
        </is>
      </c>
      <c r="E2185" s="34" t="inlineStr">
        <is>
          <t>Neutral Throw, Up Throw, Down Throw, Spin Throw</t>
        </is>
      </c>
      <c r="F2185" s="34" t="n"/>
      <c r="G2185" s="34" t="n"/>
      <c r="H2185" s="34" t="n"/>
      <c r="I2185" s="34" t="n"/>
      <c r="J2185" s="16" t="n"/>
    </row>
    <row r="2186">
      <c r="A2186" s="43" t="n"/>
      <c r="B2186" s="44" t="n"/>
      <c r="C2186" s="43" t="n"/>
      <c r="D2186" s="19" t="inlineStr">
        <is>
          <t>Other Required:</t>
        </is>
      </c>
      <c r="E2186" s="35" t="inlineStr">
        <is>
          <t>None</t>
        </is>
      </c>
      <c r="F2186" s="35" t="n"/>
      <c r="G2186" s="35" t="n"/>
      <c r="H2186" s="35" t="n"/>
      <c r="I2186" s="35" t="n"/>
      <c r="J2186" s="16" t="n"/>
    </row>
    <row r="2187">
      <c r="A2187" s="41" t="b">
        <v>1</v>
      </c>
      <c r="B2187" s="31" t="inlineStr">
        <is>
          <t>Mushroom Kingdom: Mushroom Kingdom Master Cup</t>
        </is>
      </c>
      <c r="C2187" s="35" t="n"/>
      <c r="D2187" s="12" t="inlineStr">
        <is>
          <t>Minimum Jump Height:</t>
        </is>
      </c>
      <c r="E2187" s="34" t="inlineStr">
        <is>
          <t>No Jump Needed</t>
        </is>
      </c>
      <c r="F2187" s="34" t="n"/>
      <c r="G2187" s="34" t="n"/>
      <c r="H2187" s="34" t="n"/>
      <c r="I2187" s="34" t="n"/>
      <c r="J2187" s="16" t="n"/>
    </row>
    <row r="2188">
      <c r="B2188" s="42" t="n"/>
      <c r="D2188" s="12" t="inlineStr">
        <is>
          <t>Cap Throws that work:</t>
        </is>
      </c>
      <c r="E2188" s="34" t="inlineStr">
        <is>
          <t>Neutral Throw, Up Throw, Down Throw, Spin Throw</t>
        </is>
      </c>
      <c r="F2188" s="34" t="n"/>
      <c r="G2188" s="34" t="n"/>
      <c r="H2188" s="34" t="n"/>
      <c r="I2188" s="34" t="n"/>
      <c r="J2188" s="16" t="n"/>
    </row>
    <row r="2189">
      <c r="A2189" s="43" t="n"/>
      <c r="B2189" s="44" t="n"/>
      <c r="C2189" s="43" t="n"/>
      <c r="D2189" s="19" t="inlineStr">
        <is>
          <t>Other Required:</t>
        </is>
      </c>
      <c r="E2189" s="35" t="inlineStr">
        <is>
          <t>None</t>
        </is>
      </c>
      <c r="F2189" s="35" t="n"/>
      <c r="G2189" s="35" t="n"/>
      <c r="H2189" s="35" t="n"/>
      <c r="I2189" s="35" t="n"/>
      <c r="J2189" s="16" t="n"/>
    </row>
    <row r="2190">
      <c r="A2190" s="41" t="b">
        <v>1</v>
      </c>
      <c r="B2190" s="31" t="inlineStr">
        <is>
          <t>Picture Match (Mario): Picture Match: Basically Mario</t>
        </is>
      </c>
      <c r="C2190" s="35" t="inlineStr">
        <is>
          <t>Picture Match Part (Mario)</t>
        </is>
      </c>
      <c r="D2190" s="12" t="inlineStr">
        <is>
          <t>Minimum Jump Height:</t>
        </is>
      </c>
      <c r="E2190" s="34" t="inlineStr">
        <is>
          <t>No Jump Needed</t>
        </is>
      </c>
      <c r="F2190" s="34" t="n"/>
      <c r="G2190" s="34" t="n"/>
      <c r="H2190" s="34" t="n"/>
      <c r="I2190" s="34" t="n"/>
      <c r="J2190" s="16" t="n"/>
    </row>
    <row r="2191">
      <c r="B2191" s="42" t="n"/>
      <c r="D2191" s="12" t="inlineStr">
        <is>
          <t>Cap Throws that work:</t>
        </is>
      </c>
      <c r="E2191" s="34" t="inlineStr">
        <is>
          <t>Neutral Throw, Up Throw, Down Throw, Spin Throw</t>
        </is>
      </c>
      <c r="F2191" s="34" t="n"/>
      <c r="G2191" s="34" t="n"/>
      <c r="H2191" s="34" t="n"/>
      <c r="I2191" s="34" t="n"/>
      <c r="J2191" s="16" t="n"/>
    </row>
    <row r="2192">
      <c r="A2192" s="43" t="n"/>
      <c r="B2192" s="44" t="n"/>
      <c r="C2192" s="43" t="n"/>
      <c r="D2192" s="19" t="inlineStr">
        <is>
          <t>Other Required:</t>
        </is>
      </c>
      <c r="E2192" s="35" t="inlineStr">
        <is>
          <t>Capture</t>
        </is>
      </c>
      <c r="F2192" s="35" t="n"/>
      <c r="G2192" s="35" t="n"/>
      <c r="H2192" s="35" t="n"/>
      <c r="I2192" s="35" t="n"/>
      <c r="J2192" s="16" t="n"/>
    </row>
    <row r="2193">
      <c r="A2193" s="41" t="b">
        <v>1</v>
      </c>
      <c r="B2193" s="31" t="inlineStr">
        <is>
          <t>Picture Match (Mario): Picture Match: A Stellar Mario!</t>
        </is>
      </c>
      <c r="C2193" s="35" t="inlineStr">
        <is>
          <t>Picture Match Part (Mario)</t>
        </is>
      </c>
      <c r="D2193" s="12" t="inlineStr">
        <is>
          <t>Minimum Jump Height:</t>
        </is>
      </c>
      <c r="E2193" s="34" t="inlineStr">
        <is>
          <t>No Jump Needed</t>
        </is>
      </c>
      <c r="F2193" s="34" t="n"/>
      <c r="G2193" s="34" t="n"/>
      <c r="H2193" s="34" t="n"/>
      <c r="I2193" s="34" t="n"/>
      <c r="J2193" s="16" t="n"/>
    </row>
    <row r="2194">
      <c r="B2194" s="42" t="n"/>
      <c r="D2194" s="12" t="inlineStr">
        <is>
          <t>Cap Throws that work:</t>
        </is>
      </c>
      <c r="E2194" s="34" t="inlineStr">
        <is>
          <t>Neutral Throw, Up Throw, Down Throw, Spin Throw</t>
        </is>
      </c>
      <c r="F2194" s="34" t="n"/>
      <c r="G2194" s="34" t="n"/>
      <c r="H2194" s="34" t="n"/>
      <c r="I2194" s="34" t="n"/>
      <c r="J2194" s="16" t="n"/>
    </row>
    <row r="2195">
      <c r="A2195" s="43" t="n"/>
      <c r="B2195" s="44" t="n"/>
      <c r="C2195" s="43" t="n"/>
      <c r="D2195" s="19" t="inlineStr">
        <is>
          <t>Other Required:</t>
        </is>
      </c>
      <c r="E2195" s="35" t="inlineStr">
        <is>
          <t>Capture</t>
        </is>
      </c>
      <c r="F2195" s="35" t="n"/>
      <c r="G2195" s="35" t="n"/>
      <c r="H2195" s="35" t="n"/>
      <c r="I2195" s="35" t="n"/>
      <c r="J2195" s="16" t="n"/>
    </row>
    <row r="2196">
      <c r="A2196" s="41" t="b">
        <v>1</v>
      </c>
      <c r="B2196" s="31" t="inlineStr">
        <is>
          <t>Peach's Castle: Light from the Ceiling</t>
        </is>
      </c>
      <c r="C2196" s="35" t="n"/>
      <c r="D2196" s="12" t="inlineStr">
        <is>
          <t>Minimum Jump Height:</t>
        </is>
      </c>
      <c r="E2196" s="34" t="inlineStr">
        <is>
          <t>Long Jump</t>
        </is>
      </c>
      <c r="F2196" s="34" t="n"/>
      <c r="G2196" s="34" t="n"/>
      <c r="H2196" s="34" t="n"/>
      <c r="I2196" s="34" t="n"/>
      <c r="J2196" s="16" t="n"/>
    </row>
    <row r="2197">
      <c r="B2197" s="42" t="n"/>
      <c r="D2197" s="12" t="inlineStr">
        <is>
          <t>Cap Throws that work:</t>
        </is>
      </c>
      <c r="E2197" s="34" t="inlineStr">
        <is>
          <t>No Cap Throw Needed</t>
        </is>
      </c>
      <c r="F2197" s="34" t="n"/>
      <c r="G2197" s="34" t="n"/>
      <c r="H2197" s="34" t="n"/>
      <c r="I2197" s="34" t="n"/>
      <c r="J2197" s="16" t="n"/>
    </row>
    <row r="2198">
      <c r="A2198" s="43" t="n"/>
      <c r="B2198" s="44" t="n"/>
      <c r="C2198" s="43" t="n"/>
      <c r="D2198" s="19" t="inlineStr">
        <is>
          <t>Other Required:</t>
        </is>
      </c>
      <c r="E2198" s="35" t="inlineStr">
        <is>
          <t>None</t>
        </is>
      </c>
      <c r="F2198" s="35" t="n"/>
      <c r="G2198" s="35" t="n"/>
      <c r="H2198" s="35" t="n"/>
      <c r="I2198" s="35" t="n"/>
      <c r="J2198" s="16" t="n"/>
    </row>
    <row r="2199">
      <c r="A2199" s="41" t="b">
        <v>1</v>
      </c>
      <c r="B2199" s="31" t="inlineStr">
        <is>
          <t>Peach's Castle: Loose-Tile Trackdown</t>
        </is>
      </c>
      <c r="C2199" s="35" t="n"/>
      <c r="D2199" s="12" t="inlineStr">
        <is>
          <t>Minimum Jump Height:</t>
        </is>
      </c>
      <c r="E2199" s="34" t="inlineStr">
        <is>
          <t>Long Jump</t>
        </is>
      </c>
      <c r="F2199" s="34" t="n"/>
      <c r="G2199" s="34" t="n"/>
      <c r="H2199" s="34" t="n"/>
      <c r="I2199" s="34" t="n"/>
      <c r="J2199" s="16" t="n"/>
    </row>
    <row r="2200">
      <c r="B2200" s="42" t="n"/>
      <c r="D2200" s="12" t="inlineStr">
        <is>
          <t>Cap Throws that work:</t>
        </is>
      </c>
      <c r="E2200" s="34" t="inlineStr">
        <is>
          <t>No Cap Throw Needed</t>
        </is>
      </c>
      <c r="F2200" s="34" t="n"/>
      <c r="G2200" s="34" t="n"/>
      <c r="H2200" s="34" t="n"/>
      <c r="I2200" s="34" t="n"/>
      <c r="J2200" s="16" t="n"/>
    </row>
    <row r="2201">
      <c r="A2201" s="43" t="n"/>
      <c r="B2201" s="44" t="n"/>
      <c r="C2201" s="43" t="n"/>
      <c r="D2201" s="19" t="inlineStr">
        <is>
          <t>Other Required:</t>
        </is>
      </c>
      <c r="E2201" s="35" t="inlineStr">
        <is>
          <t>Ground Pound</t>
        </is>
      </c>
      <c r="F2201" s="35" t="n"/>
      <c r="G2201" s="35" t="n"/>
      <c r="H2201" s="35" t="n"/>
      <c r="I2201" s="35" t="n"/>
      <c r="J2201" s="16" t="n"/>
    </row>
    <row r="2202">
      <c r="A2202" s="41" t="b">
        <v>1</v>
      </c>
      <c r="B2202" s="31" t="inlineStr">
        <is>
          <t>Castle Courtyard 64: Totally Classic!</t>
        </is>
      </c>
      <c r="C2202" s="35" t="n"/>
      <c r="D2202" s="12" t="inlineStr">
        <is>
          <t>Minimum Jump Height:</t>
        </is>
      </c>
      <c r="E2202" s="34" t="inlineStr">
        <is>
          <t>Single Jump (258)</t>
        </is>
      </c>
      <c r="F2202" s="34" t="n"/>
      <c r="G2202" s="34" t="n"/>
      <c r="H2202" s="34" t="n"/>
      <c r="I2202" s="34" t="n"/>
      <c r="J2202" s="16" t="n"/>
    </row>
    <row r="2203">
      <c r="B2203" s="42" t="n"/>
      <c r="D2203" s="12" t="inlineStr">
        <is>
          <t>Cap Throws that work:</t>
        </is>
      </c>
      <c r="E2203" s="34" t="inlineStr">
        <is>
          <t>Neutral Throw, Up Throw, Down Throw, Spin Throw</t>
        </is>
      </c>
      <c r="F2203" s="34" t="n"/>
      <c r="G2203" s="34" t="n"/>
      <c r="H2203" s="34" t="n"/>
      <c r="I2203" s="34" t="n"/>
      <c r="J2203" s="16" t="n"/>
    </row>
    <row r="2204">
      <c r="A2204" s="43" t="n"/>
      <c r="B2204" s="44" t="n"/>
      <c r="C2204" s="43" t="n"/>
      <c r="D2204" s="19" t="inlineStr">
        <is>
          <t>Other Required:</t>
        </is>
      </c>
      <c r="E2204" s="35" t="n"/>
      <c r="F2204" s="35" t="n"/>
      <c r="G2204" s="35" t="n"/>
      <c r="H2204" s="35" t="n"/>
      <c r="I2204" s="35" t="n"/>
      <c r="J2204" s="16" t="n"/>
    </row>
    <row r="2205">
      <c r="A2205" s="41" t="b">
        <v>1</v>
      </c>
      <c r="B2205" s="31" t="inlineStr">
        <is>
          <t>Castle Courtyard 64: Courtyard Chest Trap</t>
        </is>
      </c>
      <c r="C2205" s="35" t="n"/>
      <c r="D2205" s="12" t="inlineStr">
        <is>
          <t>Minimum Jump Height:</t>
        </is>
      </c>
      <c r="E2205" s="34" t="inlineStr">
        <is>
          <t>Long Jump</t>
        </is>
      </c>
      <c r="F2205" s="34" t="n"/>
      <c r="G2205" s="34" t="n"/>
      <c r="H2205" s="34" t="n"/>
      <c r="I2205" s="34" t="n"/>
      <c r="J2205" s="16" t="n"/>
    </row>
    <row r="2206">
      <c r="B2206" s="42" t="n"/>
      <c r="D2206" s="12" t="inlineStr">
        <is>
          <t>Cap Throws that work:</t>
        </is>
      </c>
      <c r="E2206" s="34" t="inlineStr">
        <is>
          <t>Neutral Throw, Up Throw, Down Throw, Spin Throw</t>
        </is>
      </c>
      <c r="F2206" s="34" t="n"/>
      <c r="G2206" s="34" t="n"/>
      <c r="H2206" s="34" t="n"/>
      <c r="I2206" s="34" t="n"/>
      <c r="J2206" s="16" t="n"/>
    </row>
    <row r="2207">
      <c r="A2207" s="43" t="n"/>
      <c r="B2207" s="44" t="n"/>
      <c r="C2207" s="43" t="n"/>
      <c r="D2207" s="19" t="inlineStr">
        <is>
          <t>Other Required:</t>
        </is>
      </c>
      <c r="E2207" s="35" t="n"/>
      <c r="F2207" s="35" t="n"/>
      <c r="G2207" s="35" t="n"/>
      <c r="H2207" s="35" t="n"/>
      <c r="I2207" s="35" t="n"/>
      <c r="J2207" s="16" t="n"/>
    </row>
    <row r="2208">
      <c r="A2208" s="41" t="b">
        <v>1</v>
      </c>
      <c r="B2208" s="31" t="inlineStr">
        <is>
          <t>Yoshi in the Sea of Clouds: Yoshi's Feast in the Sea of Clouds</t>
        </is>
      </c>
      <c r="C2208" s="35" t="inlineStr">
        <is>
          <t>Yoshi</t>
        </is>
      </c>
      <c r="D2208" s="12" t="inlineStr">
        <is>
          <t>Minimum Jump Height:</t>
        </is>
      </c>
      <c r="E2208" s="34" t="inlineStr">
        <is>
          <t>Single Jump (258)</t>
        </is>
      </c>
      <c r="F2208" s="34" t="n"/>
      <c r="G2208" s="34" t="n"/>
      <c r="H2208" s="34" t="n"/>
      <c r="I2208" s="34" t="n"/>
      <c r="J2208" s="16" t="n"/>
    </row>
    <row r="2209">
      <c r="B2209" s="42" t="n"/>
      <c r="D2209" s="12" t="inlineStr">
        <is>
          <t>Cap Throws that work:</t>
        </is>
      </c>
      <c r="E2209" s="34" t="inlineStr">
        <is>
          <t>Neutral Throw, Up Throw, Down Throw, Spin Throw</t>
        </is>
      </c>
      <c r="F2209" s="34" t="n"/>
      <c r="G2209" s="34" t="n"/>
      <c r="H2209" s="34" t="n"/>
      <c r="I2209" s="34" t="n"/>
      <c r="J2209" s="16" t="n"/>
    </row>
    <row r="2210">
      <c r="A2210" s="43" t="n"/>
      <c r="B2210" s="44" t="n"/>
      <c r="C2210" s="43" t="n"/>
      <c r="D2210" s="19" t="inlineStr">
        <is>
          <t>Other Required:</t>
        </is>
      </c>
      <c r="E2210" s="35" t="inlineStr">
        <is>
          <t>Capture</t>
        </is>
      </c>
      <c r="F2210" s="35" t="n"/>
      <c r="G2210" s="35" t="n"/>
      <c r="H2210" s="35" t="n"/>
      <c r="I2210" s="35" t="n"/>
      <c r="J2210" s="16" t="n"/>
    </row>
    <row r="2211">
      <c r="A2211" s="41" t="b">
        <v>1</v>
      </c>
      <c r="B2211" s="31" t="inlineStr">
        <is>
          <t>Yoshi in the Sea of Clouds: Sunken Star in the Sea of Clouds</t>
        </is>
      </c>
      <c r="C2211" s="35" t="inlineStr">
        <is>
          <t>Yoshi</t>
        </is>
      </c>
      <c r="D2211" s="12" t="inlineStr">
        <is>
          <t>Minimum Jump Height:</t>
        </is>
      </c>
      <c r="E2211" s="34" t="inlineStr">
        <is>
          <t>Long Jump</t>
        </is>
      </c>
      <c r="F2211" s="34" t="n"/>
      <c r="G2211" s="34" t="n"/>
      <c r="H2211" s="34" t="n"/>
      <c r="I2211" s="34" t="n"/>
      <c r="J2211" s="16" t="n"/>
    </row>
    <row r="2212">
      <c r="B2212" s="42" t="n"/>
      <c r="D2212" s="12" t="inlineStr">
        <is>
          <t>Cap Throws that work:</t>
        </is>
      </c>
      <c r="E2212" s="34" t="inlineStr">
        <is>
          <t>Neutral Throw, Up Throw, Down Throw, Spin Throw</t>
        </is>
      </c>
      <c r="F2212" s="34" t="n"/>
      <c r="G2212" s="34" t="n"/>
      <c r="H2212" s="34" t="n"/>
      <c r="I2212" s="34" t="n"/>
      <c r="J2212" s="16" t="n"/>
    </row>
    <row r="2213">
      <c r="A2213" s="43" t="n"/>
      <c r="B2213" s="44" t="n"/>
      <c r="C2213" s="43" t="n"/>
      <c r="D2213" s="19" t="inlineStr">
        <is>
          <t>Other Required:</t>
        </is>
      </c>
      <c r="E2213" s="35" t="inlineStr">
        <is>
          <t>Capture</t>
        </is>
      </c>
      <c r="F2213" s="35" t="n"/>
      <c r="G2213" s="35" t="n"/>
      <c r="H2213" s="35" t="n"/>
      <c r="I2213" s="35" t="n"/>
      <c r="J2213" s="16" t="n"/>
    </row>
    <row r="2214">
      <c r="A2214" s="41" t="b">
        <v>1</v>
      </c>
      <c r="B2214" s="31" t="inlineStr">
        <is>
          <t>8-Bit Bullet Bills: Secret 2D Treasure</t>
        </is>
      </c>
      <c r="C2214" s="35" t="n"/>
      <c r="D2214" s="12" t="inlineStr">
        <is>
          <t>Minimum Jump Height:</t>
        </is>
      </c>
      <c r="E2214" s="34" t="inlineStr">
        <is>
          <t>Single Jump (258)</t>
        </is>
      </c>
      <c r="F2214" s="34" t="n"/>
      <c r="G2214" s="34" t="n"/>
      <c r="H2214" s="34" t="n"/>
      <c r="I2214" s="34" t="n"/>
      <c r="J2214" s="16" t="n"/>
    </row>
    <row r="2215">
      <c r="B2215" s="42" t="n"/>
      <c r="D2215" s="12" t="inlineStr">
        <is>
          <t>Cap Throws that work:</t>
        </is>
      </c>
      <c r="E2215" s="34" t="inlineStr">
        <is>
          <t>No Cap Throw Needed</t>
        </is>
      </c>
      <c r="F2215" s="34" t="n"/>
      <c r="G2215" s="34" t="n"/>
      <c r="H2215" s="34" t="n"/>
      <c r="I2215" s="34" t="n"/>
      <c r="J2215" s="16" t="n"/>
    </row>
    <row r="2216">
      <c r="A2216" s="43" t="n"/>
      <c r="B2216" s="44" t="n"/>
      <c r="C2216" s="43" t="n"/>
      <c r="D2216" s="19" t="inlineStr">
        <is>
          <t>Other Required:</t>
        </is>
      </c>
      <c r="E2216" s="35" t="inlineStr">
        <is>
          <t>None</t>
        </is>
      </c>
      <c r="F2216" s="35" t="n"/>
      <c r="G2216" s="35" t="n"/>
      <c r="H2216" s="35" t="n"/>
      <c r="I2216" s="35" t="n"/>
      <c r="J2216" s="16" t="n"/>
    </row>
    <row r="2217">
      <c r="A2217" s="41" t="b">
        <v>1</v>
      </c>
      <c r="B2217" s="31" t="inlineStr">
        <is>
          <t>8-Bit Bullet Bills: 2D Boost from Bullet Bill</t>
        </is>
      </c>
      <c r="C2217" s="35" t="n"/>
      <c r="D2217" s="12" t="inlineStr">
        <is>
          <t>Minimum Jump Height:</t>
        </is>
      </c>
      <c r="E2217" s="34" t="inlineStr">
        <is>
          <t>Single Jump (258)</t>
        </is>
      </c>
      <c r="F2217" s="34" t="n"/>
      <c r="G2217" s="34" t="n"/>
      <c r="H2217" s="34" t="n"/>
      <c r="I2217" s="34" t="n"/>
      <c r="J2217" s="16" t="n"/>
    </row>
    <row r="2218">
      <c r="B2218" s="42" t="n"/>
      <c r="D2218" s="12" t="inlineStr">
        <is>
          <t>Cap Throws that work:</t>
        </is>
      </c>
      <c r="E2218" s="34" t="inlineStr">
        <is>
          <t>No Cap Throw Needed</t>
        </is>
      </c>
      <c r="F2218" s="34" t="n"/>
      <c r="G2218" s="34" t="n"/>
      <c r="H2218" s="34" t="n"/>
      <c r="I2218" s="34" t="n"/>
      <c r="J2218" s="16" t="n"/>
    </row>
    <row r="2219">
      <c r="A2219" s="43" t="n"/>
      <c r="B2219" s="44" t="n"/>
      <c r="C2219" s="43" t="n"/>
      <c r="D2219" s="19" t="inlineStr">
        <is>
          <t>Other Required:</t>
        </is>
      </c>
      <c r="E2219" s="35" t="inlineStr">
        <is>
          <t>None</t>
        </is>
      </c>
      <c r="F2219" s="35" t="n"/>
      <c r="G2219" s="35" t="n"/>
      <c r="H2219" s="35" t="n"/>
      <c r="I2219" s="35" t="n"/>
      <c r="J2219" s="16" t="n"/>
    </row>
    <row r="2220">
      <c r="A2220" s="41" t="b">
        <v>1</v>
      </c>
      <c r="B2220" s="31" t="inlineStr">
        <is>
          <t>Knucklotec Boss Re-fight: Tussle in Tostarena: Rematch</t>
        </is>
      </c>
      <c r="C2220" s="35" t="inlineStr">
        <is>
          <t>Knucklotec's Fist</t>
        </is>
      </c>
      <c r="D2220" s="12" t="inlineStr">
        <is>
          <t>Minimum Jump Height:</t>
        </is>
      </c>
      <c r="E2220" s="34" t="inlineStr">
        <is>
          <t>Single Jump (258)</t>
        </is>
      </c>
      <c r="F2220" s="34" t="n"/>
      <c r="G2220" s="34" t="n"/>
      <c r="H2220" s="34" t="n"/>
      <c r="I2220" s="34" t="n"/>
      <c r="J2220" s="16" t="n"/>
    </row>
    <row r="2221">
      <c r="B2221" s="42" t="n"/>
      <c r="D2221" s="12" t="inlineStr">
        <is>
          <t>Cap Throws that work:</t>
        </is>
      </c>
      <c r="E2221" s="34" t="inlineStr">
        <is>
          <t>Neutral Throw, Up Throw, Down Throw, Spin Throw</t>
        </is>
      </c>
      <c r="F2221" s="34" t="n"/>
      <c r="G2221" s="34" t="n"/>
      <c r="H2221" s="34" t="n"/>
      <c r="I2221" s="34" t="n"/>
      <c r="J2221" s="16" t="n"/>
    </row>
    <row r="2222">
      <c r="A2222" s="43" t="n"/>
      <c r="B2222" s="44" t="n"/>
      <c r="C2222" s="43" t="n"/>
      <c r="D2222" s="19" t="inlineStr">
        <is>
          <t>Other Required:</t>
        </is>
      </c>
      <c r="E2222" s="35" t="inlineStr">
        <is>
          <t>Capture</t>
        </is>
      </c>
      <c r="F2222" s="35" t="n"/>
      <c r="G2222" s="35" t="n"/>
      <c r="H2222" s="35" t="n"/>
      <c r="I2222" s="35" t="n"/>
      <c r="J2222" s="16" t="n"/>
    </row>
    <row r="2223">
      <c r="A2223" s="41" t="b">
        <v>1</v>
      </c>
      <c r="B2223" s="31" t="inlineStr">
        <is>
          <t>Torkdrift Boss Re-fight: Struggle in Steam Gardens: Rematch</t>
        </is>
      </c>
      <c r="C2223" s="35" t="inlineStr">
        <is>
          <t>Uproot</t>
        </is>
      </c>
      <c r="D2223" s="12" t="inlineStr">
        <is>
          <t>Minimum Jump Height:</t>
        </is>
      </c>
      <c r="E2223" s="34" t="inlineStr">
        <is>
          <t>Single Jump (258)</t>
        </is>
      </c>
      <c r="F2223" s="34" t="n"/>
      <c r="G2223" s="34" t="n"/>
      <c r="H2223" s="34" t="n"/>
      <c r="I2223" s="34" t="n"/>
      <c r="J2223" s="16" t="n"/>
    </row>
    <row r="2224">
      <c r="B2224" s="42" t="n"/>
      <c r="D2224" s="12" t="inlineStr">
        <is>
          <t>Cap Throws that work:</t>
        </is>
      </c>
      <c r="E2224" s="34" t="inlineStr">
        <is>
          <t>Neutral Throw, Up Throw, Down Throw, Spin Throw</t>
        </is>
      </c>
      <c r="F2224" s="34" t="n"/>
      <c r="G2224" s="34" t="n"/>
      <c r="H2224" s="34" t="n"/>
      <c r="I2224" s="34" t="n"/>
      <c r="J2224" s="16" t="n"/>
    </row>
    <row r="2225">
      <c r="A2225" s="43" t="n"/>
      <c r="B2225" s="44" t="n"/>
      <c r="C2225" s="43" t="n"/>
      <c r="D2225" s="19" t="inlineStr">
        <is>
          <t>Other Required:</t>
        </is>
      </c>
      <c r="E2225" s="35" t="inlineStr">
        <is>
          <t>Capture</t>
        </is>
      </c>
      <c r="F2225" s="35" t="n"/>
      <c r="G2225" s="35" t="n"/>
      <c r="H2225" s="35" t="n"/>
      <c r="I2225" s="35" t="n"/>
      <c r="J2225" s="16" t="n"/>
    </row>
    <row r="2226">
      <c r="A2226" s="41" t="b">
        <v>1</v>
      </c>
      <c r="B2226" s="31" t="inlineStr">
        <is>
          <t>Mechawiggler Boss Re-fight: Dust-Up in New Donk City: Rematch</t>
        </is>
      </c>
      <c r="C2226" s="35" t="inlineStr">
        <is>
          <t>Sherm</t>
        </is>
      </c>
      <c r="D2226" s="12" t="inlineStr">
        <is>
          <t>Minimum Jump Height:</t>
        </is>
      </c>
      <c r="E2226" s="34" t="inlineStr">
        <is>
          <t>Single Jump (258)</t>
        </is>
      </c>
      <c r="F2226" s="34" t="n"/>
      <c r="G2226" s="34" t="n"/>
      <c r="H2226" s="34" t="n"/>
      <c r="I2226" s="34" t="n"/>
      <c r="J2226" s="16" t="n"/>
    </row>
    <row r="2227">
      <c r="B2227" s="42" t="n"/>
      <c r="D2227" s="12" t="inlineStr">
        <is>
          <t>Cap Throws that work:</t>
        </is>
      </c>
      <c r="E2227" s="34" t="inlineStr">
        <is>
          <t>Neutral Throw, Up Throw, Down Throw, Spin Throw</t>
        </is>
      </c>
      <c r="F2227" s="34" t="n"/>
      <c r="G2227" s="34" t="n"/>
      <c r="H2227" s="34" t="n"/>
      <c r="I2227" s="34" t="n"/>
      <c r="J2227" s="16" t="n"/>
    </row>
    <row r="2228">
      <c r="A2228" s="43" t="n"/>
      <c r="B2228" s="44" t="n"/>
      <c r="C2228" s="43" t="n"/>
      <c r="D2228" s="19" t="inlineStr">
        <is>
          <t>Other Required:</t>
        </is>
      </c>
      <c r="E2228" s="35" t="inlineStr">
        <is>
          <t>Capture</t>
        </is>
      </c>
      <c r="F2228" s="35" t="n"/>
      <c r="G2228" s="35" t="n"/>
      <c r="H2228" s="35" t="n"/>
      <c r="I2228" s="35" t="n"/>
      <c r="J2228" s="16" t="n"/>
    </row>
    <row r="2229">
      <c r="A2229" s="41" t="b">
        <v>1</v>
      </c>
      <c r="B2229" s="31" t="inlineStr">
        <is>
          <t>Mollusque-Lanceur Boss Re-fight: Battle in Bubblaine: Rematch</t>
        </is>
      </c>
      <c r="C2229" s="35" t="inlineStr">
        <is>
          <t>Gushen</t>
        </is>
      </c>
      <c r="D2229" s="12" t="inlineStr">
        <is>
          <t>Minimum Jump Height:</t>
        </is>
      </c>
      <c r="E2229" s="34" t="inlineStr">
        <is>
          <t>Single Jump (258)</t>
        </is>
      </c>
      <c r="F2229" s="34" t="n"/>
      <c r="G2229" s="34" t="n"/>
      <c r="H2229" s="34" t="n"/>
      <c r="I2229" s="34" t="n"/>
      <c r="J2229" s="16" t="n"/>
    </row>
    <row r="2230">
      <c r="B2230" s="42" t="n"/>
      <c r="D2230" s="12" t="inlineStr">
        <is>
          <t>Cap Throws that work:</t>
        </is>
      </c>
      <c r="E2230" s="34" t="inlineStr">
        <is>
          <t>Neutral Throw, Up Throw, Down Throw, Spin Throw</t>
        </is>
      </c>
      <c r="F2230" s="34" t="n"/>
      <c r="G2230" s="34" t="n"/>
      <c r="H2230" s="34" t="n"/>
      <c r="I2230" s="34" t="n"/>
      <c r="J2230" s="16" t="n"/>
    </row>
    <row r="2231">
      <c r="A2231" s="43" t="n"/>
      <c r="B2231" s="44" t="n"/>
      <c r="C2231" s="43" t="n"/>
      <c r="D2231" s="19" t="inlineStr">
        <is>
          <t>Other Required:</t>
        </is>
      </c>
      <c r="E2231" s="35" t="inlineStr">
        <is>
          <t>Capture</t>
        </is>
      </c>
      <c r="F2231" s="35" t="n"/>
      <c r="G2231" s="35" t="n"/>
      <c r="H2231" s="35" t="n"/>
      <c r="I2231" s="35" t="n"/>
      <c r="J2231" s="16" t="n"/>
    </row>
    <row r="2232">
      <c r="A2232" s="41" t="b">
        <v>1</v>
      </c>
      <c r="B2232" s="31" t="inlineStr">
        <is>
          <t>Cookatiel Boss Re-fight: Blowup at Mount Volbono: Rematch</t>
        </is>
      </c>
      <c r="C2232" s="35" t="inlineStr">
        <is>
          <t>Lava Bubble</t>
        </is>
      </c>
      <c r="D2232" s="12" t="inlineStr">
        <is>
          <t>Minimum Jump Height:</t>
        </is>
      </c>
      <c r="E2232" s="34" t="inlineStr">
        <is>
          <t>Single Jump (258)</t>
        </is>
      </c>
      <c r="F2232" s="34" t="n"/>
      <c r="G2232" s="34" t="n"/>
      <c r="H2232" s="34" t="n"/>
      <c r="I2232" s="34" t="n"/>
      <c r="J2232" s="16" t="n"/>
    </row>
    <row r="2233">
      <c r="B2233" s="42" t="n"/>
      <c r="D2233" s="12" t="inlineStr">
        <is>
          <t>Cap Throws that work:</t>
        </is>
      </c>
      <c r="E2233" s="34" t="inlineStr">
        <is>
          <t>No Cap Throw Needed</t>
        </is>
      </c>
      <c r="F2233" s="34" t="n"/>
      <c r="G2233" s="34" t="n"/>
      <c r="H2233" s="34" t="n"/>
      <c r="I2233" s="34" t="n"/>
      <c r="J2233" s="16" t="n"/>
    </row>
    <row r="2234">
      <c r="A2234" s="43" t="n"/>
      <c r="B2234" s="44" t="n"/>
      <c r="C2234" s="43" t="n"/>
      <c r="D2234" s="19" t="inlineStr">
        <is>
          <t>Other Required:</t>
        </is>
      </c>
      <c r="E2234" s="35" t="inlineStr">
        <is>
          <t>Capture</t>
        </is>
      </c>
      <c r="F2234" s="35" t="n"/>
      <c r="G2234" s="35" t="n"/>
      <c r="H2234" s="35" t="n"/>
      <c r="I2234" s="35" t="n"/>
      <c r="J2234" s="16" t="n"/>
    </row>
    <row r="2235">
      <c r="A2235" s="41" t="b">
        <v>1</v>
      </c>
      <c r="B2235" s="31" t="inlineStr">
        <is>
          <t>Lord of Lightning Boss Re-fight: Rumble in Crumbleden: Rematch</t>
        </is>
      </c>
      <c r="C2235" s="35" t="n"/>
      <c r="D2235" s="12" t="inlineStr">
        <is>
          <t>Minimum Jump Height:</t>
        </is>
      </c>
      <c r="E2235" s="34" t="inlineStr">
        <is>
          <t>Single Jump (258)</t>
        </is>
      </c>
      <c r="F2235" s="34" t="n"/>
      <c r="G2235" s="34" t="n"/>
      <c r="H2235" s="34" t="n"/>
      <c r="I2235" s="34" t="n"/>
      <c r="J2235" s="16" t="n"/>
    </row>
    <row r="2236">
      <c r="B2236" s="42" t="n"/>
      <c r="D2236" s="12" t="inlineStr">
        <is>
          <t>Cap Throws that work:</t>
        </is>
      </c>
      <c r="E2236" s="34" t="inlineStr">
        <is>
          <t>Neutral Throw, Up Throw, Down Throw, Spin Throw</t>
        </is>
      </c>
      <c r="F2236" s="34" t="n"/>
      <c r="G2236" s="34" t="n"/>
      <c r="H2236" s="34" t="n"/>
      <c r="I2236" s="34" t="n"/>
      <c r="J2236" s="16" t="n"/>
    </row>
    <row r="2237">
      <c r="A2237" s="43" t="n"/>
      <c r="B2237" s="44" t="n"/>
      <c r="C2237" s="43" t="n"/>
      <c r="D2237" s="19" t="inlineStr">
        <is>
          <t>Other Required:</t>
        </is>
      </c>
      <c r="E2237" s="35" t="inlineStr">
        <is>
          <t>Ground Pound</t>
        </is>
      </c>
      <c r="F2237" s="35" t="n"/>
      <c r="G2237" s="35" t="n"/>
      <c r="H2237" s="35" t="n"/>
      <c r="I2237" s="35" t="n"/>
      <c r="J2237" s="16" t="n"/>
    </row>
    <row r="2238">
      <c r="A2238" s="41" t="b">
        <v>1</v>
      </c>
      <c r="B2238" s="31" t="inlineStr">
        <is>
          <t>Mushroom Kingdom: Secret Path to Peach's Castle!</t>
        </is>
      </c>
      <c r="C2238" s="35" t="n"/>
      <c r="D2238" s="12" t="inlineStr">
        <is>
          <t>Minimum Jump Height:</t>
        </is>
      </c>
      <c r="E2238" s="34" t="inlineStr">
        <is>
          <t>Single Jump (258)</t>
        </is>
      </c>
      <c r="F2238" s="34" t="inlineStr">
        <is>
          <t>Single Jump (258)</t>
        </is>
      </c>
      <c r="G2238" s="34" t="n"/>
      <c r="H2238" s="34" t="n"/>
      <c r="I2238" s="34" t="n"/>
      <c r="J2238" s="16" t="n"/>
    </row>
    <row r="2239">
      <c r="B2239" s="42" t="n"/>
      <c r="D2239" s="12" t="inlineStr">
        <is>
          <t>Cap Throws that work:</t>
        </is>
      </c>
      <c r="E2239" s="34" t="inlineStr">
        <is>
          <t>No Cap Throw Needed</t>
        </is>
      </c>
      <c r="F2239" s="34" t="inlineStr">
        <is>
          <t>No Cap Throw Needed</t>
        </is>
      </c>
      <c r="G2239" s="34" t="n"/>
      <c r="H2239" s="34" t="n"/>
      <c r="I2239" s="34" t="n"/>
      <c r="J2239" s="16" t="n"/>
    </row>
    <row r="2240">
      <c r="A2240" s="43" t="n"/>
      <c r="B2240" s="44" t="n"/>
      <c r="C2240" s="43" t="n"/>
      <c r="D2240" s="19" t="inlineStr">
        <is>
          <t>Other Required:</t>
        </is>
      </c>
      <c r="E2240" s="35" t="inlineStr">
        <is>
          <t>, Wall Slide</t>
        </is>
      </c>
      <c r="F2240" s="35" t="inlineStr">
        <is>
          <t>, Climb</t>
        </is>
      </c>
      <c r="G2240" s="35" t="n"/>
      <c r="H2240" s="35" t="n"/>
      <c r="I2240" s="35" t="n"/>
      <c r="J2240" s="16" t="n"/>
    </row>
    <row r="2241">
      <c r="A2241" s="41" t="b">
        <v>1</v>
      </c>
      <c r="B2241" s="31" t="inlineStr">
        <is>
          <t>Mushroom Kingdom: A Tourist in the Mushroom Kingdom!</t>
        </is>
      </c>
      <c r="C2241" s="35" t="n"/>
      <c r="D2241" s="12" t="inlineStr">
        <is>
          <t>Minimum Jump Height:</t>
        </is>
      </c>
      <c r="E2241" s="34" t="inlineStr">
        <is>
          <t>Long Jump</t>
        </is>
      </c>
      <c r="F2241" s="34" t="n"/>
      <c r="G2241" s="34" t="n"/>
      <c r="H2241" s="34" t="n"/>
      <c r="I2241" s="34" t="n"/>
      <c r="J2241" s="16" t="n"/>
    </row>
    <row r="2242">
      <c r="B2242" s="42" t="n"/>
      <c r="D2242" s="12" t="inlineStr">
        <is>
          <t>Cap Throws that work:</t>
        </is>
      </c>
      <c r="E2242" s="34" t="inlineStr">
        <is>
          <t>No Cap Throw Needed</t>
        </is>
      </c>
      <c r="F2242" s="34" t="n"/>
      <c r="G2242" s="34" t="n"/>
      <c r="H2242" s="34" t="n"/>
      <c r="I2242" s="34" t="n"/>
      <c r="J2242" s="16" t="n"/>
    </row>
    <row r="2243">
      <c r="A2243" s="43" t="n"/>
      <c r="B2243" s="44" t="n"/>
      <c r="C2243" s="43" t="n"/>
      <c r="D2243" s="19" t="inlineStr">
        <is>
          <t>Other Required:</t>
        </is>
      </c>
      <c r="E2243" s="35" t="inlineStr">
        <is>
          <t>None</t>
        </is>
      </c>
      <c r="F2243" s="35" t="n"/>
      <c r="G2243" s="35" t="n"/>
      <c r="H2243" s="35" t="n"/>
      <c r="I2243" s="35" t="n"/>
      <c r="J2243" s="16" t="n"/>
    </row>
    <row r="2244">
      <c r="A2244" s="41" t="b">
        <v>1</v>
      </c>
      <c r="B2244" s="31" t="inlineStr">
        <is>
          <t>Peach's Castle: Found with Mushroom Kingdom Art</t>
        </is>
      </c>
      <c r="C2244" s="35" t="n"/>
      <c r="D2244" s="12" t="inlineStr">
        <is>
          <t>Minimum Jump Height:</t>
        </is>
      </c>
      <c r="E2244" s="34" t="inlineStr">
        <is>
          <t>Long Jump</t>
        </is>
      </c>
      <c r="F2244" s="34" t="n"/>
      <c r="G2244" s="34" t="n"/>
      <c r="H2244" s="34" t="n"/>
      <c r="I2244" s="34" t="n"/>
      <c r="J2244" s="16" t="n"/>
    </row>
    <row r="2245">
      <c r="B2245" s="42" t="n"/>
      <c r="D2245" s="12" t="inlineStr">
        <is>
          <t>Cap Throws that work:</t>
        </is>
      </c>
      <c r="E2245" s="34" t="inlineStr">
        <is>
          <t>No Cap Throw Needed</t>
        </is>
      </c>
      <c r="F2245" s="34" t="n"/>
      <c r="G2245" s="34" t="n"/>
      <c r="H2245" s="34" t="n"/>
      <c r="I2245" s="34" t="n"/>
      <c r="J2245" s="16" t="n"/>
    </row>
    <row r="2246">
      <c r="A2246" s="43" t="n"/>
      <c r="B2246" s="44" t="n"/>
      <c r="C2246" s="43" t="n"/>
      <c r="D2246" s="19" t="inlineStr">
        <is>
          <t>Other Required:</t>
        </is>
      </c>
      <c r="E2246" s="35" t="inlineStr">
        <is>
          <t>, Ground Pound</t>
        </is>
      </c>
      <c r="F2246" s="35" t="n"/>
      <c r="G2246" s="35" t="n"/>
      <c r="H2246" s="35" t="n"/>
      <c r="I2246" s="35" t="n"/>
      <c r="J2246" s="16" t="n"/>
    </row>
    <row r="2247">
      <c r="A2247" s="41" t="b">
        <v>1</v>
      </c>
      <c r="B2247" s="31" t="inlineStr">
        <is>
          <t>Mushroom Kingdom: Hat-and-Seek: Mushroom Kingdom</t>
        </is>
      </c>
      <c r="C2247" s="35" t="n"/>
      <c r="D2247" s="12" t="inlineStr">
        <is>
          <t>Minimum Jump Height:</t>
        </is>
      </c>
      <c r="E2247" s="34" t="inlineStr">
        <is>
          <t>No Jump Needed</t>
        </is>
      </c>
      <c r="F2247" s="34" t="n"/>
      <c r="G2247" s="34" t="n"/>
      <c r="H2247" s="34" t="n"/>
      <c r="I2247" s="34" t="n"/>
      <c r="J2247" s="16" t="n"/>
    </row>
    <row r="2248">
      <c r="B2248" s="42" t="n"/>
      <c r="D2248" s="12" t="inlineStr">
        <is>
          <t>Cap Throws that work:</t>
        </is>
      </c>
      <c r="E2248" s="34" t="inlineStr">
        <is>
          <t>No Cap Throw Needed</t>
        </is>
      </c>
      <c r="F2248" s="34" t="n"/>
      <c r="G2248" s="34" t="n"/>
      <c r="H2248" s="34" t="n"/>
      <c r="I2248" s="34" t="n"/>
      <c r="J2248" s="16" t="n"/>
    </row>
    <row r="2249">
      <c r="A2249" s="43" t="n"/>
      <c r="B2249" s="44" t="n"/>
      <c r="C2249" s="43" t="n"/>
      <c r="D2249" s="19" t="inlineStr">
        <is>
          <t>Other Required:</t>
        </is>
      </c>
      <c r="E2249" s="35" t="inlineStr">
        <is>
          <t>None</t>
        </is>
      </c>
      <c r="F2249" s="35" t="n"/>
      <c r="G2249" s="35" t="n"/>
      <c r="H2249" s="35" t="n"/>
      <c r="I2249" s="35" t="n"/>
      <c r="J2249" s="16" t="n"/>
    </row>
    <row r="2250">
      <c r="A2250" s="41" t="b">
        <v>1</v>
      </c>
      <c r="B2250" s="31" t="inlineStr">
        <is>
          <t>Mushroom Kingdom: Princess Peach, Home Again!</t>
        </is>
      </c>
      <c r="C2250" s="35" t="n"/>
      <c r="D2250" s="12" t="inlineStr">
        <is>
          <t>Minimum Jump Height:</t>
        </is>
      </c>
      <c r="E2250" s="34" t="inlineStr">
        <is>
          <t>Single Jump (258)</t>
        </is>
      </c>
      <c r="F2250" s="34" t="n"/>
      <c r="G2250" s="34" t="n"/>
      <c r="H2250" s="34" t="n"/>
      <c r="I2250" s="34" t="n"/>
      <c r="J2250" s="16" t="n"/>
    </row>
    <row r="2251">
      <c r="B2251" s="42" t="n"/>
      <c r="D2251" s="12" t="inlineStr">
        <is>
          <t>Cap Throws that work:</t>
        </is>
      </c>
      <c r="E2251" s="34" t="inlineStr">
        <is>
          <t>Neutral Throw, Up Throw, Down Throw, Spin Throw</t>
        </is>
      </c>
      <c r="F2251" s="34" t="n"/>
      <c r="G2251" s="34" t="n"/>
      <c r="H2251" s="34" t="n"/>
      <c r="I2251" s="34" t="n"/>
      <c r="J2251" s="16" t="n"/>
    </row>
    <row r="2252">
      <c r="A2252" s="43" t="n"/>
      <c r="B2252" s="44" t="n"/>
      <c r="C2252" s="43" t="n"/>
      <c r="D2252" s="19" t="inlineStr">
        <is>
          <t>Other Required:</t>
        </is>
      </c>
      <c r="E2252" s="35" t="inlineStr">
        <is>
          <t>None</t>
        </is>
      </c>
      <c r="F2252" s="35" t="n"/>
      <c r="G2252" s="35" t="n"/>
      <c r="H2252" s="35" t="n"/>
      <c r="I2252" s="35" t="n"/>
      <c r="J2252" s="16" t="n"/>
    </row>
    <row r="2253">
      <c r="A2253" s="41" t="b">
        <v>1</v>
      </c>
      <c r="B2253" s="31" t="inlineStr">
        <is>
          <t>Dark Side: Arrival at Rabbit Ridge!</t>
        </is>
      </c>
      <c r="C2253" s="35" t="inlineStr">
        <is>
          <t>Spark pylon, Hammer Bro</t>
        </is>
      </c>
      <c r="D2253" s="12" t="inlineStr">
        <is>
          <t>Minimum Jump Height:</t>
        </is>
      </c>
      <c r="E2253" s="34" t="inlineStr">
        <is>
          <t>Single Jump (258)</t>
        </is>
      </c>
      <c r="F2253" s="34" t="inlineStr">
        <is>
          <t>Single Jump (258)</t>
        </is>
      </c>
      <c r="G2253" s="34" t="n"/>
      <c r="H2253" s="34" t="n"/>
      <c r="I2253" s="34" t="n"/>
      <c r="J2253" s="16" t="n"/>
    </row>
    <row r="2254">
      <c r="B2254" s="42" t="n"/>
      <c r="D2254" s="12" t="inlineStr">
        <is>
          <t>Cap Throws that work:</t>
        </is>
      </c>
      <c r="E2254" s="34" t="inlineStr">
        <is>
          <t>Neutral Throw, Up Throw, Down Throw, Spin Throw</t>
        </is>
      </c>
      <c r="F2254" s="34" t="inlineStr">
        <is>
          <t>Neutral Throw, Up Throw, Down Throw, Spin Throw</t>
        </is>
      </c>
      <c r="G2254" s="34" t="n"/>
      <c r="H2254" s="34" t="n"/>
      <c r="I2254" s="34" t="n"/>
      <c r="J2254" s="16" t="n"/>
    </row>
    <row r="2255">
      <c r="A2255" s="43" t="n"/>
      <c r="B2255" s="44" t="n"/>
      <c r="C2255" s="43" t="n"/>
      <c r="D2255" s="19" t="inlineStr">
        <is>
          <t>Other Required:</t>
        </is>
      </c>
      <c r="E2255" s="35" t="inlineStr">
        <is>
          <t>Capture, Ground Pound</t>
        </is>
      </c>
      <c r="F2255" s="35" t="inlineStr">
        <is>
          <t>Capture</t>
        </is>
      </c>
      <c r="G2255" s="35" t="n"/>
      <c r="H2255" s="35" t="n"/>
      <c r="I2255" s="35" t="n"/>
      <c r="J2255" s="16" t="n"/>
    </row>
    <row r="2256">
      <c r="A2256" s="41" t="b">
        <v>1</v>
      </c>
      <c r="B2256" s="31" t="inlineStr">
        <is>
          <t>Dark Side: Captain Toad on the Dark Side!</t>
        </is>
      </c>
      <c r="C2256" s="35" t="inlineStr">
        <is>
          <t>Spark pylon</t>
        </is>
      </c>
      <c r="D2256" s="12" t="inlineStr">
        <is>
          <t>Minimum Jump Height:</t>
        </is>
      </c>
      <c r="E2256" s="34" t="inlineStr">
        <is>
          <t>No Jump Needed</t>
        </is>
      </c>
      <c r="F2256" s="34" t="n"/>
      <c r="G2256" s="34" t="n"/>
      <c r="H2256" s="34" t="n"/>
      <c r="I2256" s="34" t="n"/>
      <c r="J2256" s="16" t="n"/>
    </row>
    <row r="2257">
      <c r="B2257" s="42" t="n"/>
      <c r="D2257" s="12" t="inlineStr">
        <is>
          <t>Cap Throws that work:</t>
        </is>
      </c>
      <c r="E2257" s="34" t="inlineStr">
        <is>
          <t>Neutral Throw, Up Throw, Down Throw, Spin Throw</t>
        </is>
      </c>
      <c r="F2257" s="34" t="n"/>
      <c r="G2257" s="34" t="n"/>
      <c r="H2257" s="34" t="n"/>
      <c r="I2257" s="34" t="n"/>
      <c r="J2257" s="16" t="n"/>
    </row>
    <row r="2258">
      <c r="A2258" s="43" t="n"/>
      <c r="B2258" s="44" t="n"/>
      <c r="C2258" s="43" t="n"/>
      <c r="D2258" s="19" t="inlineStr">
        <is>
          <t>Other Required:</t>
        </is>
      </c>
      <c r="E2258" s="35" t="inlineStr">
        <is>
          <t>Capture</t>
        </is>
      </c>
      <c r="F2258" s="35" t="n"/>
      <c r="G2258" s="35" t="n"/>
      <c r="H2258" s="35" t="n"/>
      <c r="I2258" s="35" t="n"/>
      <c r="J2258" s="16" t="n"/>
    </row>
    <row r="2259">
      <c r="A2259" s="41" t="b">
        <v>1</v>
      </c>
      <c r="B2259" s="31" t="inlineStr">
        <is>
          <t>Breakdown Road Capless: Breakdown Road: Hurry!</t>
        </is>
      </c>
      <c r="C2259" s="35" t="n"/>
      <c r="D2259" s="12" t="inlineStr">
        <is>
          <t>Minimum Jump Height:</t>
        </is>
      </c>
      <c r="E2259" s="34" t="inlineStr">
        <is>
          <t>Single Jump (258)</t>
        </is>
      </c>
      <c r="F2259" s="34" t="n"/>
      <c r="G2259" s="34" t="n"/>
      <c r="H2259" s="34" t="n"/>
      <c r="I2259" s="34" t="n"/>
      <c r="J2259" s="16" t="n"/>
    </row>
    <row r="2260">
      <c r="B2260" s="42" t="n"/>
      <c r="D2260" s="12" t="inlineStr">
        <is>
          <t>Cap Throws that work:</t>
        </is>
      </c>
      <c r="E2260" s="34" t="inlineStr">
        <is>
          <t>Neutral Throw, Up Throw, Down Throw, Spin Throw</t>
        </is>
      </c>
      <c r="F2260" s="34" t="n"/>
      <c r="G2260" s="34" t="n"/>
      <c r="H2260" s="34" t="n"/>
      <c r="I2260" s="34" t="n"/>
      <c r="J2260" s="16" t="n"/>
    </row>
    <row r="2261">
      <c r="A2261" s="43" t="n"/>
      <c r="B2261" s="44" t="n"/>
      <c r="C2261" s="43" t="n"/>
      <c r="D2261" s="19" t="inlineStr">
        <is>
          <t>Other Required:</t>
        </is>
      </c>
      <c r="E2261" s="35" t="inlineStr">
        <is>
          <t>None</t>
        </is>
      </c>
      <c r="F2261" s="35" t="n"/>
      <c r="G2261" s="35" t="n"/>
      <c r="H2261" s="35" t="n"/>
      <c r="I2261" s="35" t="n"/>
      <c r="J2261" s="16" t="n"/>
    </row>
    <row r="2262">
      <c r="A2262" s="41" t="b">
        <v>1</v>
      </c>
      <c r="B2262" s="31" t="inlineStr">
        <is>
          <t>Breakdown Road Capless: Breakdown Road: Final Challenge!</t>
        </is>
      </c>
      <c r="C2262" s="35" t="n"/>
      <c r="D2262" s="12" t="inlineStr">
        <is>
          <t>Minimum Jump Height:</t>
        </is>
      </c>
      <c r="E2262" s="34" t="inlineStr">
        <is>
          <t>Single Jump (258)</t>
        </is>
      </c>
      <c r="F2262" s="34" t="n"/>
      <c r="G2262" s="34" t="n"/>
      <c r="H2262" s="34" t="n"/>
      <c r="I2262" s="34" t="n"/>
      <c r="J2262" s="16" t="n"/>
    </row>
    <row r="2263">
      <c r="B2263" s="42" t="n"/>
      <c r="D2263" s="12" t="inlineStr">
        <is>
          <t>Cap Throws that work:</t>
        </is>
      </c>
      <c r="E2263" s="34" t="inlineStr">
        <is>
          <t>Neutral Throw, Up Throw, Down Throw, Spin Throw</t>
        </is>
      </c>
      <c r="F2263" s="34" t="n"/>
      <c r="G2263" s="34" t="n"/>
      <c r="H2263" s="34" t="n"/>
      <c r="I2263" s="34" t="n"/>
      <c r="J2263" s="16" t="n"/>
    </row>
    <row r="2264">
      <c r="A2264" s="43" t="n"/>
      <c r="B2264" s="44" t="n"/>
      <c r="C2264" s="43" t="n"/>
      <c r="D2264" s="19" t="inlineStr">
        <is>
          <t>Other Required:</t>
        </is>
      </c>
      <c r="E2264" s="35" t="inlineStr">
        <is>
          <t>None</t>
        </is>
      </c>
      <c r="F2264" s="35" t="n"/>
      <c r="G2264" s="35" t="n"/>
      <c r="H2264" s="35" t="n"/>
      <c r="I2264" s="35" t="n"/>
      <c r="J2264" s="16" t="n"/>
    </row>
    <row r="2265">
      <c r="A2265" s="41" t="b">
        <v>1</v>
      </c>
      <c r="B2265" s="31" t="inlineStr">
        <is>
          <t>Invisible Road Capless: Invisible Road: Rush!</t>
        </is>
      </c>
      <c r="C2265" s="35" t="n"/>
      <c r="D2265" s="12" t="inlineStr">
        <is>
          <t>Minimum Jump Height:</t>
        </is>
      </c>
      <c r="E2265" s="34" t="inlineStr">
        <is>
          <t>Single Jump (258)</t>
        </is>
      </c>
      <c r="F2265" s="34" t="n"/>
      <c r="G2265" s="34" t="n"/>
      <c r="H2265" s="34" t="n"/>
      <c r="I2265" s="34" t="n"/>
      <c r="J2265" s="16" t="n"/>
    </row>
    <row r="2266">
      <c r="B2266" s="42" t="n"/>
      <c r="D2266" s="12" t="inlineStr">
        <is>
          <t>Cap Throws that work:</t>
        </is>
      </c>
      <c r="E2266" s="34" t="inlineStr">
        <is>
          <t>Neutral Throw, Up Throw, Down Throw, Spin Throw</t>
        </is>
      </c>
      <c r="F2266" s="34" t="n"/>
      <c r="G2266" s="34" t="n"/>
      <c r="H2266" s="34" t="n"/>
      <c r="I2266" s="34" t="n"/>
      <c r="J2266" s="16" t="n"/>
    </row>
    <row r="2267">
      <c r="A2267" s="43" t="n"/>
      <c r="B2267" s="44" t="n"/>
      <c r="C2267" s="43" t="n"/>
      <c r="D2267" s="19" t="inlineStr">
        <is>
          <t>Other Required:</t>
        </is>
      </c>
      <c r="E2267" s="35" t="inlineStr">
        <is>
          <t>None</t>
        </is>
      </c>
      <c r="F2267" s="35" t="n"/>
      <c r="G2267" s="35" t="n"/>
      <c r="H2267" s="35" t="n"/>
      <c r="I2267" s="35" t="n"/>
      <c r="J2267" s="16" t="n"/>
    </row>
    <row r="2268">
      <c r="A2268" s="41" t="b">
        <v>1</v>
      </c>
      <c r="B2268" s="31" t="inlineStr">
        <is>
          <t>Invisible Road Capless: Invisible Road: Secret!</t>
        </is>
      </c>
      <c r="C2268" s="35" t="n"/>
      <c r="D2268" s="12" t="inlineStr">
        <is>
          <t>Minimum Jump Height:</t>
        </is>
      </c>
      <c r="E2268" s="34" t="inlineStr">
        <is>
          <t>Single Jump (258)</t>
        </is>
      </c>
      <c r="F2268" s="34" t="n"/>
      <c r="G2268" s="34" t="n"/>
      <c r="H2268" s="34" t="n"/>
      <c r="I2268" s="34" t="n"/>
      <c r="J2268" s="16" t="n"/>
    </row>
    <row r="2269">
      <c r="B2269" s="42" t="n"/>
      <c r="D2269" s="12" t="inlineStr">
        <is>
          <t>Cap Throws that work:</t>
        </is>
      </c>
      <c r="E2269" s="34" t="inlineStr">
        <is>
          <t>Neutral Throw, Up Throw, Down Throw, Spin Throw</t>
        </is>
      </c>
      <c r="F2269" s="34" t="n"/>
      <c r="G2269" s="34" t="n"/>
      <c r="H2269" s="34" t="n"/>
      <c r="I2269" s="34" t="n"/>
      <c r="J2269" s="16" t="n"/>
    </row>
    <row r="2270">
      <c r="A2270" s="43" t="n"/>
      <c r="B2270" s="44" t="n"/>
      <c r="C2270" s="43" t="n"/>
      <c r="D2270" s="19" t="inlineStr">
        <is>
          <t>Other Required:</t>
        </is>
      </c>
      <c r="E2270" s="35" t="inlineStr">
        <is>
          <t>None</t>
        </is>
      </c>
      <c r="F2270" s="35" t="n"/>
      <c r="G2270" s="35" t="n"/>
      <c r="H2270" s="35" t="n"/>
      <c r="I2270" s="35" t="n"/>
      <c r="J2270" s="16" t="n"/>
    </row>
    <row r="2271">
      <c r="A2271" s="41" t="b">
        <v>1</v>
      </c>
      <c r="B2271" s="31" t="inlineStr">
        <is>
          <t>Vanishing Road Capless: Vanishing Road Rush</t>
        </is>
      </c>
      <c r="C2271" s="35" t="n"/>
      <c r="D2271" s="12" t="inlineStr">
        <is>
          <t>Minimum Jump Height:</t>
        </is>
      </c>
      <c r="E2271" s="34" t="inlineStr">
        <is>
          <t>Single Jump (258)</t>
        </is>
      </c>
      <c r="F2271" s="34" t="n"/>
      <c r="G2271" s="34" t="n"/>
      <c r="H2271" s="34" t="n"/>
      <c r="I2271" s="34" t="n"/>
      <c r="J2271" s="16" t="n"/>
    </row>
    <row r="2272">
      <c r="B2272" s="42" t="n"/>
      <c r="D2272" s="12" t="inlineStr">
        <is>
          <t>Cap Throws that work:</t>
        </is>
      </c>
      <c r="E2272" s="34" t="inlineStr">
        <is>
          <t>Neutral Throw, Up Throw, Down Throw, Spin Throw</t>
        </is>
      </c>
      <c r="F2272" s="34" t="n"/>
      <c r="G2272" s="34" t="n"/>
      <c r="H2272" s="34" t="n"/>
      <c r="I2272" s="34" t="n"/>
      <c r="J2272" s="16" t="n"/>
    </row>
    <row r="2273">
      <c r="A2273" s="43" t="n"/>
      <c r="B2273" s="44" t="n"/>
      <c r="C2273" s="43" t="n"/>
      <c r="D2273" s="19" t="inlineStr">
        <is>
          <t>Other Required:</t>
        </is>
      </c>
      <c r="E2273" s="35" t="inlineStr">
        <is>
          <t>Roll Boost</t>
        </is>
      </c>
      <c r="F2273" s="35" t="n"/>
      <c r="G2273" s="35" t="n"/>
      <c r="H2273" s="35" t="n"/>
      <c r="I2273" s="35" t="n"/>
      <c r="J2273" s="16" t="n"/>
    </row>
    <row r="2274">
      <c r="A2274" s="41" t="b">
        <v>1</v>
      </c>
      <c r="B2274" s="31" t="inlineStr">
        <is>
          <t>Vanishing Road Capless: Vanishing Road Challenge</t>
        </is>
      </c>
      <c r="C2274" s="35" t="n"/>
      <c r="D2274" s="12" t="inlineStr">
        <is>
          <t>Minimum Jump Height:</t>
        </is>
      </c>
      <c r="E2274" s="34" t="inlineStr">
        <is>
          <t>Single Jump (258)</t>
        </is>
      </c>
      <c r="F2274" s="34" t="n"/>
      <c r="G2274" s="34" t="n"/>
      <c r="H2274" s="34" t="n"/>
      <c r="I2274" s="34" t="n"/>
      <c r="J2274" s="16" t="inlineStr">
        <is>
          <t>Only single jump required if spawning from ending pipe</t>
        </is>
      </c>
    </row>
    <row r="2275">
      <c r="B2275" s="42" t="n"/>
      <c r="D2275" s="12" t="inlineStr">
        <is>
          <t>Cap Throws that work:</t>
        </is>
      </c>
      <c r="E2275" s="34" t="inlineStr">
        <is>
          <t>Neutral Throw, Up Throw, Down Throw, Spin Throw</t>
        </is>
      </c>
      <c r="F2275" s="34" t="n"/>
      <c r="G2275" s="34" t="n"/>
      <c r="H2275" s="34" t="n"/>
      <c r="I2275" s="34" t="n"/>
      <c r="J2275" s="16" t="n"/>
    </row>
    <row r="2276">
      <c r="A2276" s="43" t="n"/>
      <c r="B2276" s="44" t="n"/>
      <c r="C2276" s="43" t="n"/>
      <c r="D2276" s="19" t="inlineStr">
        <is>
          <t>Other Required:</t>
        </is>
      </c>
      <c r="E2276" s="35" t="inlineStr">
        <is>
          <t>Roll Boost</t>
        </is>
      </c>
      <c r="F2276" s="35" t="n"/>
      <c r="G2276" s="35" t="n"/>
      <c r="H2276" s="35" t="n"/>
      <c r="I2276" s="35" t="n"/>
      <c r="J2276" s="16" t="n"/>
    </row>
    <row r="2277">
      <c r="A2277" s="41" t="b">
        <v>1</v>
      </c>
      <c r="B2277" s="31" t="inlineStr">
        <is>
          <t>Yoshi Under Siege: Yoshi Under Siege</t>
        </is>
      </c>
      <c r="C2277" s="35" t="inlineStr">
        <is>
          <t>Yoshi</t>
        </is>
      </c>
      <c r="D2277" s="12" t="inlineStr">
        <is>
          <t>Minimum Jump Height:</t>
        </is>
      </c>
      <c r="E2277" s="34" t="inlineStr">
        <is>
          <t>Single Jump (258)</t>
        </is>
      </c>
      <c r="F2277" s="34" t="n"/>
      <c r="G2277" s="34" t="n"/>
      <c r="H2277" s="34" t="n"/>
      <c r="I2277" s="34" t="n"/>
      <c r="J2277" s="16" t="n"/>
    </row>
    <row r="2278">
      <c r="B2278" s="42" t="n"/>
      <c r="D2278" s="12" t="inlineStr">
        <is>
          <t>Cap Throws that work:</t>
        </is>
      </c>
      <c r="E2278" s="34" t="inlineStr">
        <is>
          <t>Neutral Throw, Up Throw, Down Throw, Spin Throw</t>
        </is>
      </c>
      <c r="F2278" s="34" t="n"/>
      <c r="G2278" s="34" t="n"/>
      <c r="H2278" s="34" t="n"/>
      <c r="I2278" s="34" t="n"/>
      <c r="J2278" s="16" t="n"/>
    </row>
    <row r="2279">
      <c r="A2279" s="43" t="n"/>
      <c r="B2279" s="44" t="n"/>
      <c r="C2279" s="43" t="n"/>
      <c r="D2279" s="19" t="inlineStr">
        <is>
          <t>Other Required:</t>
        </is>
      </c>
      <c r="E2279" s="35" t="inlineStr">
        <is>
          <t>Capture</t>
        </is>
      </c>
      <c r="F2279" s="35" t="n"/>
      <c r="G2279" s="35" t="n"/>
      <c r="H2279" s="35" t="n"/>
      <c r="I2279" s="35" t="n"/>
      <c r="J2279" s="16" t="n"/>
    </row>
    <row r="2280">
      <c r="A2280" s="41" t="b">
        <v>1</v>
      </c>
      <c r="B2280" s="31" t="inlineStr">
        <is>
          <t>Yoshi Under Siege: Fruit Feast Under Siege</t>
        </is>
      </c>
      <c r="C2280" s="35" t="inlineStr">
        <is>
          <t>Yoshi</t>
        </is>
      </c>
      <c r="D2280" s="12" t="inlineStr">
        <is>
          <t>Minimum Jump Height:</t>
        </is>
      </c>
      <c r="E2280" s="34" t="inlineStr">
        <is>
          <t>Single Jump (258)</t>
        </is>
      </c>
      <c r="F2280" s="34" t="n"/>
      <c r="G2280" s="34" t="n"/>
      <c r="H2280" s="34" t="n"/>
      <c r="I2280" s="34" t="n"/>
      <c r="J2280" s="16" t="n"/>
    </row>
    <row r="2281">
      <c r="B2281" s="42" t="n"/>
      <c r="D2281" s="12" t="inlineStr">
        <is>
          <t>Cap Throws that work:</t>
        </is>
      </c>
      <c r="E2281" s="34" t="inlineStr">
        <is>
          <t>Neutral Throw, Up Throw, Down Throw, Spin Throw</t>
        </is>
      </c>
      <c r="F2281" s="34" t="n"/>
      <c r="G2281" s="34" t="n"/>
      <c r="H2281" s="34" t="n"/>
      <c r="I2281" s="34" t="n"/>
      <c r="J2281" s="16" t="n"/>
    </row>
    <row r="2282">
      <c r="A2282" s="43" t="n"/>
      <c r="B2282" s="44" t="n"/>
      <c r="C2282" s="43" t="n"/>
      <c r="D2282" s="19" t="inlineStr">
        <is>
          <t>Other Required:</t>
        </is>
      </c>
      <c r="E2282" s="35" t="inlineStr">
        <is>
          <t>Capture</t>
        </is>
      </c>
      <c r="F2282" s="35" t="n"/>
      <c r="G2282" s="35" t="n"/>
      <c r="H2282" s="35" t="n"/>
      <c r="I2282" s="35" t="n"/>
      <c r="J2282" s="16" t="n"/>
    </row>
    <row r="2283">
      <c r="A2283" s="41" t="b">
        <v>1</v>
      </c>
      <c r="B2283" s="31" t="inlineStr">
        <is>
          <t>Yoshi on the Sinking Island: Yoshi on the Sinking Island</t>
        </is>
      </c>
      <c r="C2283" s="35" t="inlineStr">
        <is>
          <t>Yoshi</t>
        </is>
      </c>
      <c r="D2283" s="12" t="inlineStr">
        <is>
          <t>Minimum Jump Height:</t>
        </is>
      </c>
      <c r="E2283" s="34" t="inlineStr">
        <is>
          <t>Single Jump (258)</t>
        </is>
      </c>
      <c r="F2283" s="34" t="n"/>
      <c r="G2283" s="34" t="n"/>
      <c r="H2283" s="34" t="n"/>
      <c r="I2283" s="34" t="n"/>
      <c r="J2283" s="16" t="n"/>
    </row>
    <row r="2284">
      <c r="B2284" s="42" t="n"/>
      <c r="D2284" s="12" t="inlineStr">
        <is>
          <t>Cap Throws that work:</t>
        </is>
      </c>
      <c r="E2284" s="34" t="inlineStr">
        <is>
          <t>Neutral Throw, Up Throw, Down Throw, Spin Throw</t>
        </is>
      </c>
      <c r="F2284" s="34" t="n"/>
      <c r="G2284" s="34" t="n"/>
      <c r="H2284" s="34" t="n"/>
      <c r="I2284" s="34" t="n"/>
      <c r="J2284" s="16" t="n"/>
    </row>
    <row r="2285">
      <c r="A2285" s="43" t="n"/>
      <c r="B2285" s="44" t="n"/>
      <c r="C2285" s="43" t="n"/>
      <c r="D2285" s="19" t="inlineStr">
        <is>
          <t>Other Required:</t>
        </is>
      </c>
      <c r="E2285" s="35" t="inlineStr">
        <is>
          <t>Capture</t>
        </is>
      </c>
      <c r="F2285" s="35" t="n"/>
      <c r="G2285" s="35" t="n"/>
      <c r="H2285" s="35" t="n"/>
      <c r="I2285" s="35" t="n"/>
      <c r="J2285" s="16" t="n"/>
    </row>
    <row r="2286">
      <c r="A2286" s="41" t="b">
        <v>1</v>
      </c>
      <c r="B2286" s="31" t="inlineStr">
        <is>
          <t>Yoshi on the Sinking Island: Fruit Feast on the Sinking Island</t>
        </is>
      </c>
      <c r="C2286" s="35" t="inlineStr">
        <is>
          <t>Yoshi</t>
        </is>
      </c>
      <c r="D2286" s="12" t="inlineStr">
        <is>
          <t>Minimum Jump Height:</t>
        </is>
      </c>
      <c r="E2286" s="34" t="inlineStr">
        <is>
          <t>Single Jump (258)</t>
        </is>
      </c>
      <c r="F2286" s="34" t="n"/>
      <c r="G2286" s="34" t="n"/>
      <c r="H2286" s="34" t="n"/>
      <c r="I2286" s="34" t="n"/>
      <c r="J2286" s="16" t="n"/>
    </row>
    <row r="2287">
      <c r="B2287" s="42" t="n"/>
      <c r="D2287" s="12" t="inlineStr">
        <is>
          <t>Cap Throws that work:</t>
        </is>
      </c>
      <c r="E2287" s="34" t="inlineStr">
        <is>
          <t>Neutral Throw, Up Throw, Down Throw, Spin Throw</t>
        </is>
      </c>
      <c r="F2287" s="34" t="n"/>
      <c r="G2287" s="34" t="n"/>
      <c r="H2287" s="34" t="n"/>
      <c r="I2287" s="34" t="n"/>
      <c r="J2287" s="16" t="n"/>
    </row>
    <row r="2288">
      <c r="A2288" s="43" t="n"/>
      <c r="B2288" s="44" t="n"/>
      <c r="C2288" s="43" t="n"/>
      <c r="D2288" s="19" t="inlineStr">
        <is>
          <t>Other Required:</t>
        </is>
      </c>
      <c r="E2288" s="35" t="inlineStr">
        <is>
          <t>Capture</t>
        </is>
      </c>
      <c r="F2288" s="35" t="n"/>
      <c r="G2288" s="35" t="n"/>
      <c r="H2288" s="35" t="n"/>
      <c r="I2288" s="35" t="n"/>
      <c r="J2288" s="16" t="n"/>
    </row>
    <row r="2289">
      <c r="A2289" s="41" t="b">
        <v>1</v>
      </c>
      <c r="B2289" s="31" t="inlineStr">
        <is>
          <t>Yoshi's Magma Swamp: Yoshi's Magma Swamp</t>
        </is>
      </c>
      <c r="C2289" s="35" t="inlineStr">
        <is>
          <t>Yoshi</t>
        </is>
      </c>
      <c r="D2289" s="12" t="inlineStr">
        <is>
          <t>Minimum Jump Height:</t>
        </is>
      </c>
      <c r="E2289" s="34" t="inlineStr">
        <is>
          <t>Single Jump (258)</t>
        </is>
      </c>
      <c r="F2289" s="34" t="n"/>
      <c r="G2289" s="34" t="n"/>
      <c r="H2289" s="34" t="n"/>
      <c r="I2289" s="34" t="n"/>
      <c r="J2289" s="16" t="n"/>
    </row>
    <row r="2290">
      <c r="B2290" s="42" t="n"/>
      <c r="D2290" s="12" t="inlineStr">
        <is>
          <t>Cap Throws that work:</t>
        </is>
      </c>
      <c r="E2290" s="34" t="inlineStr">
        <is>
          <t>Neutral Throw, Up Throw, Down Throw, Spin Throw</t>
        </is>
      </c>
      <c r="F2290" s="34" t="n"/>
      <c r="G2290" s="34" t="n"/>
      <c r="H2290" s="34" t="n"/>
      <c r="I2290" s="34" t="n"/>
      <c r="J2290" s="16" t="n"/>
    </row>
    <row r="2291">
      <c r="A2291" s="43" t="n"/>
      <c r="B2291" s="44" t="n"/>
      <c r="C2291" s="43" t="n"/>
      <c r="D2291" s="19" t="inlineStr">
        <is>
          <t>Other Required:</t>
        </is>
      </c>
      <c r="E2291" s="35" t="inlineStr">
        <is>
          <t>Capture</t>
        </is>
      </c>
      <c r="F2291" s="35" t="n"/>
      <c r="G2291" s="35" t="n"/>
      <c r="H2291" s="35" t="n"/>
      <c r="I2291" s="35" t="n"/>
      <c r="J2291" s="16" t="n"/>
    </row>
    <row r="2292">
      <c r="A2292" s="41" t="b">
        <v>1</v>
      </c>
      <c r="B2292" s="31" t="inlineStr">
        <is>
          <t>Yoshi's Magma Swamp: Fruit Feast in the Magma Swamp!</t>
        </is>
      </c>
      <c r="C2292" s="35" t="inlineStr">
        <is>
          <t>Yoshi</t>
        </is>
      </c>
      <c r="D2292" s="12" t="inlineStr">
        <is>
          <t>Minimum Jump Height:</t>
        </is>
      </c>
      <c r="E2292" s="34" t="inlineStr">
        <is>
          <t>Single Jump (258)</t>
        </is>
      </c>
      <c r="F2292" s="34" t="n"/>
      <c r="G2292" s="34" t="n"/>
      <c r="H2292" s="34" t="n"/>
      <c r="I2292" s="34" t="n"/>
      <c r="J2292" s="16" t="n"/>
    </row>
    <row r="2293">
      <c r="B2293" s="42" t="n"/>
      <c r="D2293" s="12" t="inlineStr">
        <is>
          <t>Cap Throws that work:</t>
        </is>
      </c>
      <c r="E2293" s="34" t="inlineStr">
        <is>
          <t>Neutral Throw, Up Throw, Down Throw, Spin Throw</t>
        </is>
      </c>
      <c r="F2293" s="34" t="n"/>
      <c r="G2293" s="34" t="n"/>
      <c r="H2293" s="34" t="n"/>
      <c r="I2293" s="34" t="n"/>
      <c r="J2293" s="16" t="n"/>
    </row>
    <row r="2294">
      <c r="A2294" s="43" t="n"/>
      <c r="B2294" s="44" t="n"/>
      <c r="C2294" s="43" t="n"/>
      <c r="D2294" s="19" t="inlineStr">
        <is>
          <t>Other Required:</t>
        </is>
      </c>
      <c r="E2294" s="35" t="inlineStr">
        <is>
          <t>Capture</t>
        </is>
      </c>
      <c r="F2294" s="35" t="n"/>
      <c r="G2294" s="35" t="n"/>
      <c r="H2294" s="35" t="n"/>
      <c r="I2294" s="35" t="n"/>
      <c r="J2294" s="16" t="n"/>
    </row>
    <row r="2295">
      <c r="A2295" s="41" t="b">
        <v>1</v>
      </c>
      <c r="B2295" s="31" t="inlineStr">
        <is>
          <t>Dark Side: Found with Dark Side Art 1</t>
        </is>
      </c>
      <c r="C2295" s="35" t="n"/>
      <c r="D2295" s="12" t="inlineStr">
        <is>
          <t>Minimum Jump Height:</t>
        </is>
      </c>
      <c r="E2295" s="34" t="inlineStr">
        <is>
          <t>Long Jump</t>
        </is>
      </c>
      <c r="F2295" s="34" t="n"/>
      <c r="G2295" s="34" t="n"/>
      <c r="H2295" s="34" t="n"/>
      <c r="I2295" s="34" t="n"/>
      <c r="J2295" s="16" t="n"/>
    </row>
    <row r="2296">
      <c r="B2296" s="42" t="n"/>
      <c r="D2296" s="12" t="inlineStr">
        <is>
          <t>Cap Throws that work:</t>
        </is>
      </c>
      <c r="E2296" s="34" t="inlineStr">
        <is>
          <t>No Cap Throw Needed</t>
        </is>
      </c>
      <c r="F2296" s="34" t="n"/>
      <c r="G2296" s="34" t="n"/>
      <c r="H2296" s="34" t="n"/>
      <c r="I2296" s="34" t="n"/>
      <c r="J2296" s="16" t="n"/>
    </row>
    <row r="2297">
      <c r="A2297" s="43" t="n"/>
      <c r="B2297" s="44" t="n"/>
      <c r="C2297" s="43" t="n"/>
      <c r="D2297" s="19" t="inlineStr">
        <is>
          <t>Other Required:</t>
        </is>
      </c>
      <c r="E2297" s="35" t="inlineStr">
        <is>
          <t xml:space="preserve">Ground Pound, </t>
        </is>
      </c>
      <c r="F2297" s="35" t="n"/>
      <c r="G2297" s="35" t="n"/>
      <c r="H2297" s="35" t="n"/>
      <c r="I2297" s="35" t="n"/>
      <c r="J2297" s="16" t="n"/>
    </row>
    <row r="2298">
      <c r="A2298" s="41" t="b">
        <v>1</v>
      </c>
      <c r="B2298" s="31" t="inlineStr">
        <is>
          <t>Dark Side: Found with Dark Side Art 2</t>
        </is>
      </c>
      <c r="C2298" s="35" t="n"/>
      <c r="D2298" s="12" t="inlineStr">
        <is>
          <t>Minimum Jump Height:</t>
        </is>
      </c>
      <c r="E2298" s="34" t="inlineStr">
        <is>
          <t>Long Jump</t>
        </is>
      </c>
      <c r="F2298" s="34" t="n"/>
      <c r="G2298" s="34" t="n"/>
      <c r="H2298" s="34" t="n"/>
      <c r="I2298" s="34" t="n"/>
      <c r="J2298" s="16" t="n"/>
    </row>
    <row r="2299">
      <c r="B2299" s="42" t="n"/>
      <c r="D2299" s="12" t="inlineStr">
        <is>
          <t>Cap Throws that work:</t>
        </is>
      </c>
      <c r="E2299" s="34" t="inlineStr">
        <is>
          <t>No Cap Throw Needed</t>
        </is>
      </c>
      <c r="F2299" s="34" t="n"/>
      <c r="G2299" s="34" t="n"/>
      <c r="H2299" s="34" t="n"/>
      <c r="I2299" s="34" t="n"/>
      <c r="J2299" s="16" t="n"/>
    </row>
    <row r="2300">
      <c r="A2300" s="43" t="n"/>
      <c r="B2300" s="44" t="n"/>
      <c r="C2300" s="43" t="n"/>
      <c r="D2300" s="19" t="inlineStr">
        <is>
          <t>Other Required:</t>
        </is>
      </c>
      <c r="E2300" s="35" t="inlineStr">
        <is>
          <t>Ground Pound</t>
        </is>
      </c>
      <c r="F2300" s="35" t="n"/>
      <c r="G2300" s="35" t="n"/>
      <c r="H2300" s="35" t="n"/>
      <c r="I2300" s="35" t="n"/>
      <c r="J2300" s="16" t="n"/>
    </row>
    <row r="2301">
      <c r="A2301" s="41" t="b">
        <v>1</v>
      </c>
      <c r="B2301" s="31" t="inlineStr">
        <is>
          <t>Dark Side: Found with Dark Side Art 3</t>
        </is>
      </c>
      <c r="C2301" s="35" t="n"/>
      <c r="D2301" s="12" t="inlineStr">
        <is>
          <t>Minimum Jump Height:</t>
        </is>
      </c>
      <c r="E2301" s="34" t="inlineStr">
        <is>
          <t>Long Jump</t>
        </is>
      </c>
      <c r="F2301" s="34" t="n"/>
      <c r="G2301" s="34" t="n"/>
      <c r="H2301" s="34" t="n"/>
      <c r="I2301" s="34" t="n"/>
      <c r="J2301" s="16" t="n"/>
    </row>
    <row r="2302">
      <c r="B2302" s="42" t="n"/>
      <c r="D2302" s="12" t="inlineStr">
        <is>
          <t>Cap Throws that work:</t>
        </is>
      </c>
      <c r="E2302" s="34" t="inlineStr">
        <is>
          <t>No Cap Throw Needed</t>
        </is>
      </c>
      <c r="F2302" s="34" t="n"/>
      <c r="G2302" s="34" t="n"/>
      <c r="H2302" s="34" t="n"/>
      <c r="I2302" s="34" t="n"/>
      <c r="J2302" s="16" t="n"/>
    </row>
    <row r="2303">
      <c r="A2303" s="43" t="n"/>
      <c r="B2303" s="44" t="n"/>
      <c r="C2303" s="43" t="n"/>
      <c r="D2303" s="19" t="inlineStr">
        <is>
          <t>Other Required:</t>
        </is>
      </c>
      <c r="E2303" s="35" t="inlineStr">
        <is>
          <t>Ground Pound</t>
        </is>
      </c>
      <c r="F2303" s="35" t="n"/>
      <c r="G2303" s="35" t="n"/>
      <c r="H2303" s="35" t="n"/>
      <c r="I2303" s="35" t="n"/>
      <c r="J2303" s="16" t="n"/>
    </row>
    <row r="2304">
      <c r="A2304" s="41" t="b">
        <v>1</v>
      </c>
      <c r="B2304" s="31" t="inlineStr">
        <is>
          <t>Dark Side: Found with Dark Side Art 4</t>
        </is>
      </c>
      <c r="C2304" s="35" t="n"/>
      <c r="D2304" s="12" t="inlineStr">
        <is>
          <t>Minimum Jump Height:</t>
        </is>
      </c>
      <c r="E2304" s="34" t="inlineStr">
        <is>
          <t>Long Jump</t>
        </is>
      </c>
      <c r="F2304" s="34" t="n"/>
      <c r="G2304" s="34" t="n"/>
      <c r="H2304" s="34" t="n"/>
      <c r="I2304" s="34" t="n"/>
      <c r="J2304" s="16" t="n"/>
    </row>
    <row r="2305">
      <c r="B2305" s="42" t="n"/>
      <c r="D2305" s="12" t="inlineStr">
        <is>
          <t>Cap Throws that work:</t>
        </is>
      </c>
      <c r="E2305" s="34" t="inlineStr">
        <is>
          <t>No Cap Throw Needed</t>
        </is>
      </c>
      <c r="F2305" s="34" t="n"/>
      <c r="G2305" s="34" t="n"/>
      <c r="H2305" s="34" t="n"/>
      <c r="I2305" s="34" t="n"/>
      <c r="J2305" s="16" t="n"/>
    </row>
    <row r="2306">
      <c r="A2306" s="43" t="n"/>
      <c r="B2306" s="44" t="n"/>
      <c r="C2306" s="43" t="n"/>
      <c r="D2306" s="19" t="inlineStr">
        <is>
          <t>Other Required:</t>
        </is>
      </c>
      <c r="E2306" s="35" t="inlineStr">
        <is>
          <t>Ground Pound</t>
        </is>
      </c>
      <c r="F2306" s="35" t="n"/>
      <c r="G2306" s="35" t="n"/>
      <c r="H2306" s="35" t="n"/>
      <c r="I2306" s="35" t="n"/>
      <c r="J2306" s="16" t="n"/>
    </row>
    <row r="2307">
      <c r="A2307" s="41" t="b">
        <v>1</v>
      </c>
      <c r="B2307" s="31" t="inlineStr">
        <is>
          <t>Dark Side: Found with Dark Side Art 5</t>
        </is>
      </c>
      <c r="C2307" s="35" t="n"/>
      <c r="D2307" s="12" t="inlineStr">
        <is>
          <t>Minimum Jump Height:</t>
        </is>
      </c>
      <c r="E2307" s="34" t="inlineStr">
        <is>
          <t>Long Jump</t>
        </is>
      </c>
      <c r="F2307" s="34" t="n"/>
      <c r="G2307" s="34" t="n"/>
      <c r="H2307" s="34" t="n"/>
      <c r="I2307" s="34" t="n"/>
      <c r="J2307" s="16" t="n"/>
    </row>
    <row r="2308">
      <c r="B2308" s="42" t="n"/>
      <c r="D2308" s="12" t="inlineStr">
        <is>
          <t>Cap Throws that work:</t>
        </is>
      </c>
      <c r="E2308" s="34" t="inlineStr">
        <is>
          <t>No Cap Throw Needed</t>
        </is>
      </c>
      <c r="F2308" s="34" t="n"/>
      <c r="G2308" s="34" t="n"/>
      <c r="H2308" s="34" t="n"/>
      <c r="I2308" s="34" t="n"/>
      <c r="J2308" s="16" t="n"/>
    </row>
    <row r="2309">
      <c r="A2309" s="43" t="n"/>
      <c r="B2309" s="44" t="n"/>
      <c r="C2309" s="43" t="n"/>
      <c r="D2309" s="19" t="inlineStr">
        <is>
          <t>Other Required:</t>
        </is>
      </c>
      <c r="E2309" s="35" t="inlineStr">
        <is>
          <t>, Ground Pound</t>
        </is>
      </c>
      <c r="F2309" s="35" t="n"/>
      <c r="G2309" s="35" t="n"/>
      <c r="H2309" s="35" t="n"/>
      <c r="I2309" s="35" t="n"/>
      <c r="J2309" s="16" t="n"/>
    </row>
    <row r="2310">
      <c r="A2310" s="41" t="b">
        <v>1</v>
      </c>
      <c r="B2310" s="31" t="inlineStr">
        <is>
          <t>Dark Side: Found with Dark Side Art 6</t>
        </is>
      </c>
      <c r="C2310" s="35" t="n"/>
      <c r="D2310" s="12" t="inlineStr">
        <is>
          <t>Minimum Jump Height:</t>
        </is>
      </c>
      <c r="E2310" s="34" t="inlineStr">
        <is>
          <t>Long Jump</t>
        </is>
      </c>
      <c r="F2310" s="34" t="n"/>
      <c r="G2310" s="34" t="n"/>
      <c r="H2310" s="34" t="n"/>
      <c r="I2310" s="34" t="n"/>
      <c r="J2310" s="16" t="n"/>
    </row>
    <row r="2311">
      <c r="B2311" s="42" t="n"/>
      <c r="D2311" s="12" t="inlineStr">
        <is>
          <t>Cap Throws that work:</t>
        </is>
      </c>
      <c r="E2311" s="34" t="inlineStr">
        <is>
          <t>No Cap Throw Needed</t>
        </is>
      </c>
      <c r="F2311" s="34" t="n"/>
      <c r="G2311" s="34" t="n"/>
      <c r="H2311" s="34" t="n"/>
      <c r="I2311" s="34" t="n"/>
      <c r="J2311" s="16" t="n"/>
    </row>
    <row r="2312">
      <c r="A2312" s="43" t="n"/>
      <c r="B2312" s="44" t="n"/>
      <c r="C2312" s="43" t="n"/>
      <c r="D2312" s="19" t="inlineStr">
        <is>
          <t>Other Required:</t>
        </is>
      </c>
      <c r="E2312" s="35" t="inlineStr">
        <is>
          <t>, Ground Pound</t>
        </is>
      </c>
      <c r="F2312" s="35" t="n"/>
      <c r="G2312" s="35" t="n"/>
      <c r="H2312" s="35" t="n"/>
      <c r="I2312" s="35" t="n"/>
      <c r="J2312" s="16" t="n"/>
    </row>
    <row r="2313">
      <c r="A2313" s="41" t="b">
        <v>1</v>
      </c>
      <c r="B2313" s="31" t="inlineStr">
        <is>
          <t>Dark Side: Found with Dark Side Art 7</t>
        </is>
      </c>
      <c r="C2313" s="35" t="n"/>
      <c r="D2313" s="12" t="inlineStr">
        <is>
          <t>Minimum Jump Height:</t>
        </is>
      </c>
      <c r="E2313" s="34" t="inlineStr">
        <is>
          <t>Long Jump</t>
        </is>
      </c>
      <c r="F2313" s="34" t="n"/>
      <c r="G2313" s="34" t="n"/>
      <c r="H2313" s="34" t="n"/>
      <c r="I2313" s="34" t="n"/>
      <c r="J2313" s="16" t="n"/>
    </row>
    <row r="2314">
      <c r="B2314" s="42" t="n"/>
      <c r="D2314" s="12" t="inlineStr">
        <is>
          <t>Cap Throws that work:</t>
        </is>
      </c>
      <c r="E2314" s="34" t="inlineStr">
        <is>
          <t>No Cap Throw Needed</t>
        </is>
      </c>
      <c r="F2314" s="34" t="n"/>
      <c r="G2314" s="34" t="n"/>
      <c r="H2314" s="34" t="n"/>
      <c r="I2314" s="34" t="n"/>
      <c r="J2314" s="16" t="n"/>
    </row>
    <row r="2315">
      <c r="A2315" s="43" t="n"/>
      <c r="B2315" s="44" t="n"/>
      <c r="C2315" s="43" t="n"/>
      <c r="D2315" s="19" t="inlineStr">
        <is>
          <t>Other Required:</t>
        </is>
      </c>
      <c r="E2315" s="35" t="inlineStr">
        <is>
          <t>, Ground Pound</t>
        </is>
      </c>
      <c r="F2315" s="35" t="n"/>
      <c r="G2315" s="35" t="n"/>
      <c r="H2315" s="35" t="n"/>
      <c r="I2315" s="35" t="n"/>
      <c r="J2315" s="16" t="n"/>
    </row>
    <row r="2316">
      <c r="A2316" s="41" t="b">
        <v>1</v>
      </c>
      <c r="B2316" s="31" t="inlineStr">
        <is>
          <t>Dark Side: Found with Dark Side Art 8</t>
        </is>
      </c>
      <c r="C2316" s="35" t="n"/>
      <c r="D2316" s="12" t="inlineStr">
        <is>
          <t>Minimum Jump Height:</t>
        </is>
      </c>
      <c r="E2316" s="34" t="inlineStr">
        <is>
          <t>Long Jump</t>
        </is>
      </c>
      <c r="F2316" s="34" t="n"/>
      <c r="G2316" s="34" t="n"/>
      <c r="H2316" s="34" t="n"/>
      <c r="I2316" s="34" t="n"/>
      <c r="J2316" s="16" t="n"/>
    </row>
    <row r="2317">
      <c r="B2317" s="42" t="n"/>
      <c r="D2317" s="12" t="inlineStr">
        <is>
          <t>Cap Throws that work:</t>
        </is>
      </c>
      <c r="E2317" s="34" t="inlineStr">
        <is>
          <t>No Cap Throw Needed</t>
        </is>
      </c>
      <c r="F2317" s="34" t="n"/>
      <c r="G2317" s="34" t="n"/>
      <c r="H2317" s="34" t="n"/>
      <c r="I2317" s="34" t="n"/>
      <c r="J2317" s="16" t="n"/>
    </row>
    <row r="2318">
      <c r="A2318" s="43" t="n"/>
      <c r="B2318" s="44" t="n"/>
      <c r="C2318" s="43" t="n"/>
      <c r="D2318" s="19" t="inlineStr">
        <is>
          <t>Other Required:</t>
        </is>
      </c>
      <c r="E2318" s="35" t="inlineStr">
        <is>
          <t>, Ground Pound</t>
        </is>
      </c>
      <c r="F2318" s="35" t="n"/>
      <c r="G2318" s="35" t="n"/>
      <c r="H2318" s="35" t="n"/>
      <c r="I2318" s="35" t="n"/>
      <c r="J2318" s="16" t="n"/>
    </row>
    <row r="2319">
      <c r="A2319" s="41" t="b">
        <v>1</v>
      </c>
      <c r="B2319" s="31" t="inlineStr">
        <is>
          <t>Dark Side: Found with Dark Side Art 9</t>
        </is>
      </c>
      <c r="C2319" s="35" t="n"/>
      <c r="D2319" s="12" t="inlineStr">
        <is>
          <t>Minimum Jump Height:</t>
        </is>
      </c>
      <c r="E2319" s="34" t="inlineStr">
        <is>
          <t>Long Jump</t>
        </is>
      </c>
      <c r="F2319" s="34" t="n"/>
      <c r="G2319" s="34" t="n"/>
      <c r="H2319" s="34" t="n"/>
      <c r="I2319" s="34" t="n"/>
      <c r="J2319" s="16" t="n"/>
    </row>
    <row r="2320">
      <c r="B2320" s="42" t="n"/>
      <c r="D2320" s="12" t="inlineStr">
        <is>
          <t>Cap Throws that work:</t>
        </is>
      </c>
      <c r="E2320" s="34" t="inlineStr">
        <is>
          <t>No Cap Throw Needed</t>
        </is>
      </c>
      <c r="F2320" s="34" t="n"/>
      <c r="G2320" s="34" t="n"/>
      <c r="H2320" s="34" t="n"/>
      <c r="I2320" s="34" t="n"/>
      <c r="J2320" s="16" t="n"/>
    </row>
    <row r="2321">
      <c r="A2321" s="43" t="n"/>
      <c r="B2321" s="44" t="n"/>
      <c r="C2321" s="43" t="n"/>
      <c r="D2321" s="19" t="inlineStr">
        <is>
          <t>Other Required:</t>
        </is>
      </c>
      <c r="E2321" s="35" t="inlineStr">
        <is>
          <t>, Ground Pound</t>
        </is>
      </c>
      <c r="F2321" s="35" t="n"/>
      <c r="G2321" s="35" t="n"/>
      <c r="H2321" s="35" t="n"/>
      <c r="I2321" s="35" t="n"/>
      <c r="J2321" s="16" t="n"/>
    </row>
    <row r="2322">
      <c r="A2322" s="41" t="b">
        <v>1</v>
      </c>
      <c r="B2322" s="31" t="inlineStr">
        <is>
          <t>Dark Side: Found with Dark Side Art 10</t>
        </is>
      </c>
      <c r="C2322" s="35" t="n"/>
      <c r="D2322" s="12" t="inlineStr">
        <is>
          <t>Minimum Jump Height:</t>
        </is>
      </c>
      <c r="E2322" s="34" t="inlineStr">
        <is>
          <t>Long Jump</t>
        </is>
      </c>
      <c r="F2322" s="34" t="n"/>
      <c r="G2322" s="34" t="n"/>
      <c r="H2322" s="34" t="n"/>
      <c r="I2322" s="34" t="n"/>
      <c r="J2322" s="16" t="n"/>
    </row>
    <row r="2323">
      <c r="B2323" s="42" t="n"/>
      <c r="D2323" s="12" t="inlineStr">
        <is>
          <t>Cap Throws that work:</t>
        </is>
      </c>
      <c r="E2323" s="34" t="inlineStr">
        <is>
          <t>No Cap Throw Needed</t>
        </is>
      </c>
      <c r="F2323" s="34" t="n"/>
      <c r="G2323" s="34" t="n"/>
      <c r="H2323" s="34" t="n"/>
      <c r="I2323" s="34" t="n"/>
      <c r="J2323" s="16" t="n"/>
    </row>
    <row r="2324">
      <c r="A2324" s="43" t="n"/>
      <c r="B2324" s="44" t="n"/>
      <c r="C2324" s="43" t="n"/>
      <c r="D2324" s="19" t="inlineStr">
        <is>
          <t>Other Required:</t>
        </is>
      </c>
      <c r="E2324" s="35" t="inlineStr">
        <is>
          <t>, Ground Pound</t>
        </is>
      </c>
      <c r="F2324" s="35" t="n"/>
      <c r="G2324" s="35" t="n"/>
      <c r="H2324" s="35" t="n"/>
      <c r="I2324" s="35" t="n"/>
      <c r="J2324" s="16" t="n"/>
    </row>
    <row r="2325">
      <c r="A2325" s="41" t="b">
        <v>1</v>
      </c>
      <c r="B2325" s="31" t="inlineStr">
        <is>
          <t>Darker Side: Long Journey's End</t>
        </is>
      </c>
      <c r="C2325" s="35" t="inlineStr">
        <is>
          <t>Frog, Lava Bubble, Uproot, Yoshi, Glydon, Volbonan, Pokio, Spark pylon, Bowser</t>
        </is>
      </c>
      <c r="D2325" s="12" t="inlineStr">
        <is>
          <t>Minimum Jump Height:</t>
        </is>
      </c>
      <c r="E2325" s="34" t="inlineStr">
        <is>
          <t>Single Jump (258)</t>
        </is>
      </c>
      <c r="F2325" s="34" t="n"/>
      <c r="G2325" s="34" t="n"/>
      <c r="H2325" s="34" t="n"/>
      <c r="I2325" s="34" t="n"/>
      <c r="J2325" s="16" t="n"/>
    </row>
    <row r="2326">
      <c r="B2326" s="42" t="n"/>
      <c r="D2326" s="12" t="inlineStr">
        <is>
          <t>Cap Throws that work:</t>
        </is>
      </c>
      <c r="E2326" s="34" t="inlineStr">
        <is>
          <t>Neutral Throw, Up Throw, Down Throw, Spin Throw</t>
        </is>
      </c>
      <c r="F2326" s="34" t="n"/>
      <c r="G2326" s="34" t="n"/>
      <c r="H2326" s="34" t="n"/>
      <c r="I2326" s="34" t="n"/>
      <c r="J2326" s="16" t="n"/>
    </row>
    <row r="2327">
      <c r="A2327" s="43" t="n"/>
      <c r="B2327" s="44" t="n"/>
      <c r="C2327" s="43" t="n"/>
      <c r="D2327" s="19" t="inlineStr">
        <is>
          <t>Other Required:</t>
        </is>
      </c>
      <c r="E2327" s="35" t="inlineStr">
        <is>
          <t>Climb</t>
        </is>
      </c>
      <c r="F2327" s="35" t="n"/>
      <c r="G2327" s="35" t="n"/>
      <c r="H2327" s="35" t="n"/>
      <c r="I2327" s="35" t="n"/>
      <c r="J2327" s="16" t="n"/>
    </row>
    <row r="2328">
      <c r="A2328" s="41" t="b">
        <v>0</v>
      </c>
      <c r="B2328" s="31" t="n"/>
      <c r="C2328" s="35" t="n"/>
      <c r="D2328" s="12" t="inlineStr">
        <is>
          <t>Minimum Jump Height:</t>
        </is>
      </c>
      <c r="E2328" s="34" t="n"/>
      <c r="F2328" s="34" t="n"/>
      <c r="G2328" s="34" t="n"/>
      <c r="H2328" s="34" t="n"/>
      <c r="I2328" s="34" t="n"/>
      <c r="J2328" s="16" t="n"/>
    </row>
    <row r="2329">
      <c r="B2329" s="42" t="n"/>
      <c r="D2329" s="12" t="inlineStr">
        <is>
          <t>Cap Throws that work:</t>
        </is>
      </c>
      <c r="E2329" s="34" t="n"/>
      <c r="F2329" s="34" t="n"/>
      <c r="G2329" s="34" t="n"/>
      <c r="H2329" s="34" t="n"/>
      <c r="I2329" s="34" t="n"/>
      <c r="J2329" s="16" t="n"/>
    </row>
    <row r="2330">
      <c r="A2330" s="43" t="n"/>
      <c r="B2330" s="44" t="n"/>
      <c r="C2330" s="43" t="n"/>
      <c r="D2330" s="19" t="inlineStr">
        <is>
          <t>Other Required:</t>
        </is>
      </c>
      <c r="E2330" s="35" t="n"/>
      <c r="F2330" s="35" t="n"/>
      <c r="G2330" s="35" t="n"/>
      <c r="H2330" s="35" t="n"/>
      <c r="I2330" s="35" t="n"/>
      <c r="J2330" s="16" t="n"/>
    </row>
  </sheetData>
  <mergeCells count="2315">
    <mergeCell ref="C1755:C1757"/>
    <mergeCell ref="A2295:A2297"/>
    <mergeCell ref="B1650:B1652"/>
    <mergeCell ref="B933:B935"/>
    <mergeCell ref="C144:C146"/>
    <mergeCell ref="C1632:C1634"/>
    <mergeCell ref="C573:C575"/>
    <mergeCell ref="B1047:B1049"/>
    <mergeCell ref="B1389:B1391"/>
    <mergeCell ref="A81:A83"/>
    <mergeCell ref="C1029:C1031"/>
    <mergeCell ref="B1233:B1235"/>
    <mergeCell ref="B207:B209"/>
    <mergeCell ref="B918:B920"/>
    <mergeCell ref="B1353:B1355"/>
    <mergeCell ref="B636:B638"/>
    <mergeCell ref="B321:B323"/>
    <mergeCell ref="B1347:B1349"/>
    <mergeCell ref="B1689:B1691"/>
    <mergeCell ref="A525:A527"/>
    <mergeCell ref="C1329:C1331"/>
    <mergeCell ref="A2013:A2015"/>
    <mergeCell ref="B165:B167"/>
    <mergeCell ref="B507:B509"/>
    <mergeCell ref="A981:A983"/>
    <mergeCell ref="A1410:A1412"/>
    <mergeCell ref="B621:B623"/>
    <mergeCell ref="A2313:A2315"/>
    <mergeCell ref="A228:A230"/>
    <mergeCell ref="A1281:A1283"/>
    <mergeCell ref="A222:A224"/>
    <mergeCell ref="C2229:C2231"/>
    <mergeCell ref="C1170:C1172"/>
    <mergeCell ref="A1710:A1712"/>
    <mergeCell ref="A678:A680"/>
    <mergeCell ref="C1983:C1985"/>
    <mergeCell ref="C951:C953"/>
    <mergeCell ref="C444:C446"/>
    <mergeCell ref="A2010:A2012"/>
    <mergeCell ref="C2097:C2099"/>
    <mergeCell ref="A978:A980"/>
    <mergeCell ref="C2283:C2285"/>
    <mergeCell ref="B1734:B1736"/>
    <mergeCell ref="C744:C746"/>
    <mergeCell ref="C12:C14"/>
    <mergeCell ref="B972:B974"/>
    <mergeCell ref="B1245:B1247"/>
    <mergeCell ref="B222:B224"/>
    <mergeCell ref="A579:A581"/>
    <mergeCell ref="C312:C314"/>
    <mergeCell ref="C1398:C1400"/>
    <mergeCell ref="C339:C341"/>
    <mergeCell ref="A1938:A1940"/>
    <mergeCell ref="A879:A881"/>
    <mergeCell ref="B576:B578"/>
    <mergeCell ref="A906:A908"/>
    <mergeCell ref="A1932:A1934"/>
    <mergeCell ref="C216:C218"/>
    <mergeCell ref="C1698:C1700"/>
    <mergeCell ref="A1179:A1181"/>
    <mergeCell ref="C666:C668"/>
    <mergeCell ref="B876:B878"/>
    <mergeCell ref="C2154:C2156"/>
    <mergeCell ref="C1095:C1097"/>
    <mergeCell ref="B1305:B1307"/>
    <mergeCell ref="B273:B275"/>
    <mergeCell ref="B1761:B1763"/>
    <mergeCell ref="C1998:C2000"/>
    <mergeCell ref="C966:C968"/>
    <mergeCell ref="A1650:A1652"/>
    <mergeCell ref="A2079:A2081"/>
    <mergeCell ref="B1605:B1607"/>
    <mergeCell ref="B573:B575"/>
    <mergeCell ref="B2061:B2063"/>
    <mergeCell ref="B1029:B1031"/>
    <mergeCell ref="A1353:A1355"/>
    <mergeCell ref="A294:A296"/>
    <mergeCell ref="A636:A638"/>
    <mergeCell ref="A321:A323"/>
    <mergeCell ref="C999:C1001"/>
    <mergeCell ref="B1329:B1331"/>
    <mergeCell ref="A165:A167"/>
    <mergeCell ref="B255:B257"/>
    <mergeCell ref="C1113:C1115"/>
    <mergeCell ref="C2172:C2174"/>
    <mergeCell ref="A1653:A1655"/>
    <mergeCell ref="A594:A596"/>
    <mergeCell ref="C2049:C2051"/>
    <mergeCell ref="A621:A623"/>
    <mergeCell ref="C2085:C2087"/>
    <mergeCell ref="A2109:A2111"/>
    <mergeCell ref="A1050:A1052"/>
    <mergeCell ref="C351:C353"/>
    <mergeCell ref="B2202:B2204"/>
    <mergeCell ref="C387:C389"/>
    <mergeCell ref="C1413:C1415"/>
    <mergeCell ref="C264:C266"/>
    <mergeCell ref="A921:A923"/>
    <mergeCell ref="C816:C818"/>
    <mergeCell ref="B1011:B1013"/>
    <mergeCell ref="A1350:A1352"/>
    <mergeCell ref="A618:A620"/>
    <mergeCell ref="B1476:B1478"/>
    <mergeCell ref="C384:C386"/>
    <mergeCell ref="A1704:A1706"/>
    <mergeCell ref="C1437:C1439"/>
    <mergeCell ref="A918:A920"/>
    <mergeCell ref="B1776:B1778"/>
    <mergeCell ref="A954:A956"/>
    <mergeCell ref="C255:C257"/>
    <mergeCell ref="C684:C686"/>
    <mergeCell ref="A2004:A2006"/>
    <mergeCell ref="A192:A194"/>
    <mergeCell ref="C705:C707"/>
    <mergeCell ref="A2040:A2042"/>
    <mergeCell ref="B2130:B2132"/>
    <mergeCell ref="B312:B314"/>
    <mergeCell ref="C1770:C1772"/>
    <mergeCell ref="C1764:C1766"/>
    <mergeCell ref="A2304:A2306"/>
    <mergeCell ref="A219:A221"/>
    <mergeCell ref="B426:B428"/>
    <mergeCell ref="C2220:C2222"/>
    <mergeCell ref="A33:A35"/>
    <mergeCell ref="B1827:B1829"/>
    <mergeCell ref="C1038:C1040"/>
    <mergeCell ref="B1248:B1250"/>
    <mergeCell ref="B216:B218"/>
    <mergeCell ref="C1467:C1469"/>
    <mergeCell ref="B1704:B1706"/>
    <mergeCell ref="B645:B647"/>
    <mergeCell ref="B1698:B1700"/>
    <mergeCell ref="A333:A335"/>
    <mergeCell ref="B2127:B2129"/>
    <mergeCell ref="C1338:C1340"/>
    <mergeCell ref="A1305:A1307"/>
    <mergeCell ref="B516:B518"/>
    <mergeCell ref="B945:B947"/>
    <mergeCell ref="A1419:A1421"/>
    <mergeCell ref="B1998:B2000"/>
    <mergeCell ref="A1761:A1763"/>
    <mergeCell ref="B1401:B1403"/>
    <mergeCell ref="C756:C758"/>
    <mergeCell ref="C2124:C2126"/>
    <mergeCell ref="A1605:A1607"/>
    <mergeCell ref="A1290:A1292"/>
    <mergeCell ref="A2061:A2063"/>
    <mergeCell ref="A1719:A1721"/>
    <mergeCell ref="B1416:B1418"/>
    <mergeCell ref="C1371:C1373"/>
    <mergeCell ref="C1056:C1058"/>
    <mergeCell ref="B2301:B2303"/>
    <mergeCell ref="C1485:C1487"/>
    <mergeCell ref="C1827:C1829"/>
    <mergeCell ref="A993:A995"/>
    <mergeCell ref="B1119:B1121"/>
    <mergeCell ref="B60:B62"/>
    <mergeCell ref="B2145:B2147"/>
    <mergeCell ref="B1113:B1115"/>
    <mergeCell ref="B996:B998"/>
    <mergeCell ref="B1542:B1544"/>
    <mergeCell ref="A720:A722"/>
    <mergeCell ref="C21:C23"/>
    <mergeCell ref="B1419:B1421"/>
    <mergeCell ref="B360:B362"/>
    <mergeCell ref="B1413:B1415"/>
    <mergeCell ref="B1296:B1298"/>
    <mergeCell ref="B816:B818"/>
    <mergeCell ref="A1020:A1022"/>
    <mergeCell ref="B84:B86"/>
    <mergeCell ref="C777:C779"/>
    <mergeCell ref="A258:A260"/>
    <mergeCell ref="B1116:B1118"/>
    <mergeCell ref="B384:B386"/>
    <mergeCell ref="C24:C26"/>
    <mergeCell ref="C1077:C1079"/>
    <mergeCell ref="C18:C20"/>
    <mergeCell ref="B684:B686"/>
    <mergeCell ref="C2163:C2165"/>
    <mergeCell ref="C1104:C1106"/>
    <mergeCell ref="B798:B800"/>
    <mergeCell ref="B1770:B1772"/>
    <mergeCell ref="B711:B713"/>
    <mergeCell ref="A948:A950"/>
    <mergeCell ref="A1458:A1460"/>
    <mergeCell ref="A1377:A1379"/>
    <mergeCell ref="B1098:B1100"/>
    <mergeCell ref="C1224:C1226"/>
    <mergeCell ref="B2070:B2072"/>
    <mergeCell ref="C192:C194"/>
    <mergeCell ref="C708:C710"/>
    <mergeCell ref="A1248:A1250"/>
    <mergeCell ref="C2196:C2198"/>
    <mergeCell ref="C1137:C1139"/>
    <mergeCell ref="B1467:B1469"/>
    <mergeCell ref="A1677:A1679"/>
    <mergeCell ref="A645:A647"/>
    <mergeCell ref="A1074:A1076"/>
    <mergeCell ref="B285:B287"/>
    <mergeCell ref="C492:C494"/>
    <mergeCell ref="C1008:C1010"/>
    <mergeCell ref="A1032:A1034"/>
    <mergeCell ref="A1548:A1550"/>
    <mergeCell ref="C411:C413"/>
    <mergeCell ref="A1977:A1979"/>
    <mergeCell ref="B99:B101"/>
    <mergeCell ref="A945:A947"/>
    <mergeCell ref="C1893:C1895"/>
    <mergeCell ref="B1071:B1073"/>
    <mergeCell ref="B1500:B1502"/>
    <mergeCell ref="C711:C713"/>
    <mergeCell ref="B1185:B1187"/>
    <mergeCell ref="B126:B128"/>
    <mergeCell ref="B2088:B2090"/>
    <mergeCell ref="B3:B5"/>
    <mergeCell ref="B1371:B1373"/>
    <mergeCell ref="B432:B434"/>
    <mergeCell ref="A627:A629"/>
    <mergeCell ref="B1485:B1487"/>
    <mergeCell ref="A663:A665"/>
    <mergeCell ref="A2145:A2147"/>
    <mergeCell ref="A60:A62"/>
    <mergeCell ref="C393:C395"/>
    <mergeCell ref="B1785:B1787"/>
    <mergeCell ref="A963:A965"/>
    <mergeCell ref="A330:A332"/>
    <mergeCell ref="B1053:B1055"/>
    <mergeCell ref="A1392:A1394"/>
    <mergeCell ref="A360:A362"/>
    <mergeCell ref="C693:C695"/>
    <mergeCell ref="C1308:C1310"/>
    <mergeCell ref="A1848:A1850"/>
    <mergeCell ref="C1149:C1151"/>
    <mergeCell ref="C90:C92"/>
    <mergeCell ref="C117:C119"/>
    <mergeCell ref="C2121:C2123"/>
    <mergeCell ref="C1062:C1064"/>
    <mergeCell ref="B756:B758"/>
    <mergeCell ref="C2115:C2117"/>
    <mergeCell ref="B750:B752"/>
    <mergeCell ref="A2148:A2150"/>
    <mergeCell ref="C1176:C1178"/>
    <mergeCell ref="C1449:C1451"/>
    <mergeCell ref="B627:B629"/>
    <mergeCell ref="B1836:B1838"/>
    <mergeCell ref="B24:B26"/>
    <mergeCell ref="A1443:A1445"/>
    <mergeCell ref="C150:C152"/>
    <mergeCell ref="A684:A686"/>
    <mergeCell ref="B2142:B2144"/>
    <mergeCell ref="B2136:B2138"/>
    <mergeCell ref="B51:B53"/>
    <mergeCell ref="B324:B326"/>
    <mergeCell ref="A798:A800"/>
    <mergeCell ref="A1743:A1745"/>
    <mergeCell ref="C450:C452"/>
    <mergeCell ref="C108:C110"/>
    <mergeCell ref="A1770:A1772"/>
    <mergeCell ref="A2199:A2201"/>
    <mergeCell ref="C564:C566"/>
    <mergeCell ref="B1410:B1412"/>
    <mergeCell ref="A45:A47"/>
    <mergeCell ref="B1839:B1841"/>
    <mergeCell ref="C1536:C1538"/>
    <mergeCell ref="C477:C479"/>
    <mergeCell ref="A2076:A2078"/>
    <mergeCell ref="A1017:A1019"/>
    <mergeCell ref="A2043:A2045"/>
    <mergeCell ref="B1224:B1226"/>
    <mergeCell ref="A2070:A2072"/>
    <mergeCell ref="B1740:B1742"/>
    <mergeCell ref="C318:C320"/>
    <mergeCell ref="B42:B44"/>
    <mergeCell ref="C1836:C1838"/>
    <mergeCell ref="B471:B473"/>
    <mergeCell ref="C1830:C1832"/>
    <mergeCell ref="C2265:C2267"/>
    <mergeCell ref="B1443:B1445"/>
    <mergeCell ref="B1557:B1559"/>
    <mergeCell ref="C2136:C2138"/>
    <mergeCell ref="B1893:B1895"/>
    <mergeCell ref="A2217:A2219"/>
    <mergeCell ref="A1158:A1160"/>
    <mergeCell ref="B1428:B1430"/>
    <mergeCell ref="A1500:A1502"/>
    <mergeCell ref="B2199:B2201"/>
    <mergeCell ref="A1614:A1616"/>
    <mergeCell ref="A1035:A1037"/>
    <mergeCell ref="C915:C917"/>
    <mergeCell ref="C1977:C1979"/>
    <mergeCell ref="A1491:A1493"/>
    <mergeCell ref="A432:A434"/>
    <mergeCell ref="A1485:A1487"/>
    <mergeCell ref="A1914:A1916"/>
    <mergeCell ref="C1215:C1217"/>
    <mergeCell ref="B393:B395"/>
    <mergeCell ref="C1251:C1253"/>
    <mergeCell ref="A732:A734"/>
    <mergeCell ref="C2187:C2189"/>
    <mergeCell ref="A1785:A1787"/>
    <mergeCell ref="B1:B2"/>
    <mergeCell ref="C33:C35"/>
    <mergeCell ref="A2214:A2216"/>
    <mergeCell ref="C489:C491"/>
    <mergeCell ref="B693:B695"/>
    <mergeCell ref="C1551:C1553"/>
    <mergeCell ref="C1434:C1436"/>
    <mergeCell ref="B96:B98"/>
    <mergeCell ref="C819:C821"/>
    <mergeCell ref="B90:B92"/>
    <mergeCell ref="B1149:B1151"/>
    <mergeCell ref="B1062:B1064"/>
    <mergeCell ref="C1:I1"/>
    <mergeCell ref="A756:A758"/>
    <mergeCell ref="B1614:B1616"/>
    <mergeCell ref="B1176:B1178"/>
    <mergeCell ref="C522:C524"/>
    <mergeCell ref="C1548:C1550"/>
    <mergeCell ref="C1575:C1577"/>
    <mergeCell ref="C516:C518"/>
    <mergeCell ref="A1056:A1058"/>
    <mergeCell ref="C1602:C1604"/>
    <mergeCell ref="A2142:A2144"/>
    <mergeCell ref="A1083:A1085"/>
    <mergeCell ref="C1875:C1877"/>
    <mergeCell ref="C2031:C2033"/>
    <mergeCell ref="B1209:B1211"/>
    <mergeCell ref="B108:B110"/>
    <mergeCell ref="C849:C851"/>
    <mergeCell ref="C1902:C1904"/>
    <mergeCell ref="A1383:A1385"/>
    <mergeCell ref="B564:B566"/>
    <mergeCell ref="B1509:B1511"/>
    <mergeCell ref="A171:A173"/>
    <mergeCell ref="C2202:C2204"/>
    <mergeCell ref="B864:B866"/>
    <mergeCell ref="B1809:B1811"/>
    <mergeCell ref="A1503:A1505"/>
    <mergeCell ref="A471:A473"/>
    <mergeCell ref="B2265:B2267"/>
    <mergeCell ref="A1872:A1874"/>
    <mergeCell ref="A1557:A1559"/>
    <mergeCell ref="C2226:C2228"/>
    <mergeCell ref="C141:C143"/>
    <mergeCell ref="A1986:A1988"/>
    <mergeCell ref="A1857:A1859"/>
    <mergeCell ref="C441:C443"/>
    <mergeCell ref="C870:C872"/>
    <mergeCell ref="A2157:A2159"/>
    <mergeCell ref="B795:B797"/>
    <mergeCell ref="B162:B164"/>
    <mergeCell ref="B2247:B2249"/>
    <mergeCell ref="B2283:B2285"/>
    <mergeCell ref="B1065:B1067"/>
    <mergeCell ref="B1680:B1682"/>
    <mergeCell ref="B33:B35"/>
    <mergeCell ref="B462:B464"/>
    <mergeCell ref="C159:C161"/>
    <mergeCell ref="B498:B500"/>
    <mergeCell ref="A693:A695"/>
    <mergeCell ref="C588:C590"/>
    <mergeCell ref="B1434:B1436"/>
    <mergeCell ref="A1128:A1130"/>
    <mergeCell ref="A96:A98"/>
    <mergeCell ref="A1122:A1124"/>
    <mergeCell ref="C459:C461"/>
    <mergeCell ref="C888:C890"/>
    <mergeCell ref="A2208:A2210"/>
    <mergeCell ref="A396:A398"/>
    <mergeCell ref="B180:B182"/>
    <mergeCell ref="B522:B524"/>
    <mergeCell ref="B1548:B1550"/>
    <mergeCell ref="C1974:C1976"/>
    <mergeCell ref="C1188:C1190"/>
    <mergeCell ref="B1662:B1664"/>
    <mergeCell ref="C156:C158"/>
    <mergeCell ref="A840:A842"/>
    <mergeCell ref="B1581:B1583"/>
    <mergeCell ref="B480:B482"/>
    <mergeCell ref="B822:B824"/>
    <mergeCell ref="C2274:C2276"/>
    <mergeCell ref="C1242:C1244"/>
    <mergeCell ref="A2241:A2243"/>
    <mergeCell ref="B936:B938"/>
    <mergeCell ref="B1881:B1883"/>
    <mergeCell ref="B849:B851"/>
    <mergeCell ref="A543:A545"/>
    <mergeCell ref="B1122:B1124"/>
    <mergeCell ref="A537:A539"/>
    <mergeCell ref="A456:A458"/>
    <mergeCell ref="A1509:A1511"/>
    <mergeCell ref="A414:A416"/>
    <mergeCell ref="C810:C812"/>
    <mergeCell ref="C1362:C1364"/>
    <mergeCell ref="C303:C305"/>
    <mergeCell ref="B2208:B2210"/>
    <mergeCell ref="A843:A845"/>
    <mergeCell ref="A1815:A1817"/>
    <mergeCell ref="A1809:A1811"/>
    <mergeCell ref="C1110:C1112"/>
    <mergeCell ref="C1662:C1664"/>
    <mergeCell ref="C603:C605"/>
    <mergeCell ref="A111:A113"/>
    <mergeCell ref="B2235:B2237"/>
    <mergeCell ref="C813:C815"/>
    <mergeCell ref="A894:A896"/>
    <mergeCell ref="B105:B107"/>
    <mergeCell ref="C1257:C1259"/>
    <mergeCell ref="B1596:B1598"/>
    <mergeCell ref="A1194:A1196"/>
    <mergeCell ref="A162:A164"/>
    <mergeCell ref="C531:C533"/>
    <mergeCell ref="C525:C527"/>
    <mergeCell ref="A1065:A1067"/>
    <mergeCell ref="C2013:C2015"/>
    <mergeCell ref="C954:C956"/>
    <mergeCell ref="A1494:A1496"/>
    <mergeCell ref="B132:B134"/>
    <mergeCell ref="A1530:A1532"/>
    <mergeCell ref="C1410:C1412"/>
    <mergeCell ref="C1926:C1928"/>
    <mergeCell ref="B1620:B1622"/>
    <mergeCell ref="B588:B590"/>
    <mergeCell ref="B1017:B1019"/>
    <mergeCell ref="C2313:C2315"/>
    <mergeCell ref="C228:C230"/>
    <mergeCell ref="C222:C224"/>
    <mergeCell ref="C1710:C1712"/>
    <mergeCell ref="B894:B896"/>
    <mergeCell ref="A309:A311"/>
    <mergeCell ref="B1920:B1922"/>
    <mergeCell ref="B888:B890"/>
    <mergeCell ref="C528:C530"/>
    <mergeCell ref="A180:A182"/>
    <mergeCell ref="B1974:B1976"/>
    <mergeCell ref="C1500:C1502"/>
    <mergeCell ref="A609:A611"/>
    <mergeCell ref="B1188:B1190"/>
    <mergeCell ref="A1581:A1583"/>
    <mergeCell ref="C1314:C1316"/>
    <mergeCell ref="A480:A482"/>
    <mergeCell ref="B1221:B1223"/>
    <mergeCell ref="B2274:B2276"/>
    <mergeCell ref="A909:A911"/>
    <mergeCell ref="A936:A938"/>
    <mergeCell ref="A1881:A1883"/>
    <mergeCell ref="C246:C248"/>
    <mergeCell ref="C1182:C1184"/>
    <mergeCell ref="A2268:A2270"/>
    <mergeCell ref="C579:C581"/>
    <mergeCell ref="A1236:A1238"/>
    <mergeCell ref="A2181:A2183"/>
    <mergeCell ref="B303:B305"/>
    <mergeCell ref="C1482:C1484"/>
    <mergeCell ref="B603:B605"/>
    <mergeCell ref="A1269:A1271"/>
    <mergeCell ref="A210:A212"/>
    <mergeCell ref="C297:C299"/>
    <mergeCell ref="A1296:A1298"/>
    <mergeCell ref="C597:C599"/>
    <mergeCell ref="B204:B206"/>
    <mergeCell ref="A534:A536"/>
    <mergeCell ref="A1596:A1598"/>
    <mergeCell ref="C897:C899"/>
    <mergeCell ref="A2052:A2054"/>
    <mergeCell ref="C1353:C1355"/>
    <mergeCell ref="C294:C296"/>
    <mergeCell ref="B504:B506"/>
    <mergeCell ref="B531:B533"/>
    <mergeCell ref="C1782:C1784"/>
    <mergeCell ref="C1266:C1268"/>
    <mergeCell ref="B960:B962"/>
    <mergeCell ref="B2013:B2015"/>
    <mergeCell ref="C1653:C1655"/>
    <mergeCell ref="C594:C596"/>
    <mergeCell ref="A1620:A1622"/>
    <mergeCell ref="B831:B833"/>
    <mergeCell ref="C2082:C2084"/>
    <mergeCell ref="B1260:B1262"/>
    <mergeCell ref="B2313:B2315"/>
    <mergeCell ref="B228:B230"/>
    <mergeCell ref="B657:B659"/>
    <mergeCell ref="A1920:A1922"/>
    <mergeCell ref="A264:A266"/>
    <mergeCell ref="C198:C200"/>
    <mergeCell ref="C1686:C1688"/>
    <mergeCell ref="B957:B959"/>
    <mergeCell ref="A852:A854"/>
    <mergeCell ref="A135:A137"/>
    <mergeCell ref="C1713:C1715"/>
    <mergeCell ref="A2253:A2255"/>
    <mergeCell ref="B375:B377"/>
    <mergeCell ref="A1221:A1223"/>
    <mergeCell ref="B1311:B1313"/>
    <mergeCell ref="A435:A437"/>
    <mergeCell ref="B1278:B1280"/>
    <mergeCell ref="A1521:A1523"/>
    <mergeCell ref="B675:B677"/>
    <mergeCell ref="B1728:B1730"/>
    <mergeCell ref="B1611:B1613"/>
    <mergeCell ref="B1647:B1649"/>
    <mergeCell ref="A1335:A1337"/>
    <mergeCell ref="B975:B977"/>
    <mergeCell ref="A153:A155"/>
    <mergeCell ref="B1947:B1949"/>
    <mergeCell ref="A582:A584"/>
    <mergeCell ref="C333:C335"/>
    <mergeCell ref="A1668:A1670"/>
    <mergeCell ref="C1305:C1307"/>
    <mergeCell ref="C1734:C1736"/>
    <mergeCell ref="B1629:B1631"/>
    <mergeCell ref="C552:C554"/>
    <mergeCell ref="B1026:B1028"/>
    <mergeCell ref="C237:C239"/>
    <mergeCell ref="A204:A206"/>
    <mergeCell ref="C1725:C1727"/>
    <mergeCell ref="B897:B899"/>
    <mergeCell ref="B1332:B1334"/>
    <mergeCell ref="B1326:B1328"/>
    <mergeCell ref="A504:A506"/>
    <mergeCell ref="B2298:B2300"/>
    <mergeCell ref="C1452:C1454"/>
    <mergeCell ref="A1992:A1994"/>
    <mergeCell ref="B1782:B1784"/>
    <mergeCell ref="B144:B146"/>
    <mergeCell ref="A960:A962"/>
    <mergeCell ref="A1389:A1391"/>
    <mergeCell ref="B600:B602"/>
    <mergeCell ref="C1323:C1325"/>
    <mergeCell ref="A1863:A1865"/>
    <mergeCell ref="C726:C728"/>
    <mergeCell ref="A2292:A2294"/>
    <mergeCell ref="A207:A209"/>
    <mergeCell ref="A1260:A1262"/>
    <mergeCell ref="A1689:A1691"/>
    <mergeCell ref="C570:C572"/>
    <mergeCell ref="B1044:B1046"/>
    <mergeCell ref="B1386:B1388"/>
    <mergeCell ref="C1026:C1028"/>
    <mergeCell ref="C1020:C1022"/>
    <mergeCell ref="C1455:C1457"/>
    <mergeCell ref="A1989:A1991"/>
    <mergeCell ref="B318:B320"/>
    <mergeCell ref="B1686:B1688"/>
    <mergeCell ref="B747:B749"/>
    <mergeCell ref="C2106:C2108"/>
    <mergeCell ref="B1713:B1715"/>
    <mergeCell ref="A1407:A1409"/>
    <mergeCell ref="B618:B620"/>
    <mergeCell ref="A804:A806"/>
    <mergeCell ref="C105:C107"/>
    <mergeCell ref="A1278:A1280"/>
    <mergeCell ref="A681:A683"/>
    <mergeCell ref="A1707:A1709"/>
    <mergeCell ref="A675:A677"/>
    <mergeCell ref="C405:C407"/>
    <mergeCell ref="C1377:C1379"/>
    <mergeCell ref="A975:A977"/>
    <mergeCell ref="C195:C197"/>
    <mergeCell ref="C189:C191"/>
    <mergeCell ref="C741:C743"/>
    <mergeCell ref="C1677:C1679"/>
    <mergeCell ref="A276:A278"/>
    <mergeCell ref="B969:B971"/>
    <mergeCell ref="B366:B368"/>
    <mergeCell ref="A576:A578"/>
    <mergeCell ref="A1629:A1631"/>
    <mergeCell ref="A2058:A2060"/>
    <mergeCell ref="B1269:B1271"/>
    <mergeCell ref="C1395:C1397"/>
    <mergeCell ref="C336:C338"/>
    <mergeCell ref="A876:A878"/>
    <mergeCell ref="B2154:B2156"/>
    <mergeCell ref="C792:C794"/>
    <mergeCell ref="A1332:A1334"/>
    <mergeCell ref="A273:A275"/>
    <mergeCell ref="B2055:B2057"/>
    <mergeCell ref="C1695:C1697"/>
    <mergeCell ref="A660:A662"/>
    <mergeCell ref="A144:A146"/>
    <mergeCell ref="C39:C41"/>
    <mergeCell ref="C2151:C2153"/>
    <mergeCell ref="C1092:C1094"/>
    <mergeCell ref="A1632:A1634"/>
    <mergeCell ref="A573:A575"/>
    <mergeCell ref="B270:B272"/>
    <mergeCell ref="C2064:C2066"/>
    <mergeCell ref="B1758:B1760"/>
    <mergeCell ref="B699:B701"/>
    <mergeCell ref="B2187:B2189"/>
    <mergeCell ref="B2181:B2183"/>
    <mergeCell ref="C366:C368"/>
    <mergeCell ref="C1392:C1394"/>
    <mergeCell ref="C360:C362"/>
    <mergeCell ref="B570:B572"/>
    <mergeCell ref="B2058:B2060"/>
    <mergeCell ref="B999:B1001"/>
    <mergeCell ref="A291:A293"/>
    <mergeCell ref="A1779:A1781"/>
    <mergeCell ref="A747:A749"/>
    <mergeCell ref="A1773:A1775"/>
    <mergeCell ref="A1800:A1802"/>
    <mergeCell ref="A1047:A1049"/>
    <mergeCell ref="A2100:A2102"/>
    <mergeCell ref="C1479:C1481"/>
    <mergeCell ref="A2019:A2021"/>
    <mergeCell ref="C1320:C1322"/>
    <mergeCell ref="C1749:C1751"/>
    <mergeCell ref="A1347:A1349"/>
    <mergeCell ref="B405:B407"/>
    <mergeCell ref="A2319:A2321"/>
    <mergeCell ref="C1620:C1622"/>
    <mergeCell ref="A12:A14"/>
    <mergeCell ref="B1806:B1808"/>
    <mergeCell ref="B1773:B1775"/>
    <mergeCell ref="B624:B626"/>
    <mergeCell ref="A312:A314"/>
    <mergeCell ref="A348:A350"/>
    <mergeCell ref="C1461:C1463"/>
    <mergeCell ref="A969:A971"/>
    <mergeCell ref="B924:B926"/>
    <mergeCell ref="A1398:A1400"/>
    <mergeCell ref="A1434:A1436"/>
    <mergeCell ref="C1767:C1769"/>
    <mergeCell ref="A648:A650"/>
    <mergeCell ref="C735:C737"/>
    <mergeCell ref="A216:A218"/>
    <mergeCell ref="C1164:C1166"/>
    <mergeCell ref="C2217:C2219"/>
    <mergeCell ref="B1368:B1370"/>
    <mergeCell ref="A1698:A1700"/>
    <mergeCell ref="B1395:B1397"/>
    <mergeCell ref="A1734:A1736"/>
    <mergeCell ref="B1824:B1826"/>
    <mergeCell ref="C1035:C1037"/>
    <mergeCell ref="C1464:C1466"/>
    <mergeCell ref="C432:C434"/>
    <mergeCell ref="B642:B644"/>
    <mergeCell ref="B1695:B1697"/>
    <mergeCell ref="C861:C863"/>
    <mergeCell ref="B2124:B2126"/>
    <mergeCell ref="B39:B41"/>
    <mergeCell ref="B1092:B1094"/>
    <mergeCell ref="A243:A245"/>
    <mergeCell ref="B1521:B1523"/>
    <mergeCell ref="C732:C734"/>
    <mergeCell ref="A1731:A1733"/>
    <mergeCell ref="A1416:A1418"/>
    <mergeCell ref="A699:A701"/>
    <mergeCell ref="B1398:B1400"/>
    <mergeCell ref="B339:B341"/>
    <mergeCell ref="B1392:B1394"/>
    <mergeCell ref="A1005:A1007"/>
    <mergeCell ref="A999:A1001"/>
    <mergeCell ref="C300:C302"/>
    <mergeCell ref="A1119:A1121"/>
    <mergeCell ref="C414:C416"/>
    <mergeCell ref="C1824:C1826"/>
    <mergeCell ref="C765:C767"/>
    <mergeCell ref="B1095:B1097"/>
    <mergeCell ref="A2085:A2087"/>
    <mergeCell ref="C1818:C1820"/>
    <mergeCell ref="B1110:B1112"/>
    <mergeCell ref="C3:C5"/>
    <mergeCell ref="C2088:C2090"/>
    <mergeCell ref="C1851:C1853"/>
    <mergeCell ref="B1539:B1541"/>
    <mergeCell ref="B357:B359"/>
    <mergeCell ref="B777:B779"/>
    <mergeCell ref="B813:B815"/>
    <mergeCell ref="B1749:B1751"/>
    <mergeCell ref="B690:B692"/>
    <mergeCell ref="A1437:A1439"/>
    <mergeCell ref="A255:A257"/>
    <mergeCell ref="C1203:C1205"/>
    <mergeCell ref="C171:C173"/>
    <mergeCell ref="C1116:C1118"/>
    <mergeCell ref="B810:B812"/>
    <mergeCell ref="C2289:C2291"/>
    <mergeCell ref="C1503:C1505"/>
    <mergeCell ref="A1806:A1808"/>
    <mergeCell ref="B1896:B1898"/>
    <mergeCell ref="C1107:C1109"/>
    <mergeCell ref="C1872:C1874"/>
    <mergeCell ref="B1767:B1769"/>
    <mergeCell ref="B2196:B2198"/>
    <mergeCell ref="C690:C692"/>
    <mergeCell ref="B1164:B1166"/>
    <mergeCell ref="C375:C377"/>
    <mergeCell ref="B2190:B2192"/>
    <mergeCell ref="A342:A344"/>
    <mergeCell ref="C804:C806"/>
    <mergeCell ref="A771:A773"/>
    <mergeCell ref="B2067:B2069"/>
    <mergeCell ref="B1008:B1010"/>
    <mergeCell ref="B411:B413"/>
    <mergeCell ref="B1464:B1466"/>
    <mergeCell ref="A1674:A1676"/>
    <mergeCell ref="A615:A617"/>
    <mergeCell ref="A642:A644"/>
    <mergeCell ref="C1590:C1592"/>
    <mergeCell ref="B861:B863"/>
    <mergeCell ref="A2130:A2132"/>
    <mergeCell ref="A1071:A1073"/>
    <mergeCell ref="A2124:A2126"/>
    <mergeCell ref="A39:A41"/>
    <mergeCell ref="C372:C374"/>
    <mergeCell ref="B1764:B1766"/>
    <mergeCell ref="C402:C404"/>
    <mergeCell ref="A942:A944"/>
    <mergeCell ref="C1890:C1892"/>
    <mergeCell ref="A1371:A1373"/>
    <mergeCell ref="A339:A341"/>
    <mergeCell ref="C2319:C2321"/>
    <mergeCell ref="C672:C674"/>
    <mergeCell ref="C1287:C1289"/>
    <mergeCell ref="A1827:A1829"/>
    <mergeCell ref="B1182:B1184"/>
    <mergeCell ref="B465:B467"/>
    <mergeCell ref="C2190:C2192"/>
    <mergeCell ref="B729:B731"/>
    <mergeCell ref="A2127:A2129"/>
    <mergeCell ref="B1482:B1484"/>
    <mergeCell ref="B423:B425"/>
    <mergeCell ref="B765:B767"/>
    <mergeCell ref="B1911:B1913"/>
    <mergeCell ref="A21:A23"/>
    <mergeCell ref="A57:A59"/>
    <mergeCell ref="A1968:A1970"/>
    <mergeCell ref="B2121:B2123"/>
    <mergeCell ref="C1269:C1271"/>
    <mergeCell ref="A357:A359"/>
    <mergeCell ref="A1845:A1847"/>
    <mergeCell ref="A786:A788"/>
    <mergeCell ref="C2241:C2243"/>
    <mergeCell ref="A1722:A1724"/>
    <mergeCell ref="C87:C89"/>
    <mergeCell ref="A2274:A2276"/>
    <mergeCell ref="C543:C545"/>
    <mergeCell ref="C1059:C1061"/>
    <mergeCell ref="A24:A26"/>
    <mergeCell ref="C1605:C1607"/>
    <mergeCell ref="C456:C458"/>
    <mergeCell ref="B150:B152"/>
    <mergeCell ref="A996:A998"/>
    <mergeCell ref="B1203:B1205"/>
    <mergeCell ref="C843:C845"/>
    <mergeCell ref="C1359:C1361"/>
    <mergeCell ref="B21:B23"/>
    <mergeCell ref="B2289:B2291"/>
    <mergeCell ref="C1815:C1817"/>
    <mergeCell ref="B450:B452"/>
    <mergeCell ref="C2244:C2246"/>
    <mergeCell ref="A1896:A1898"/>
    <mergeCell ref="B1107:B1109"/>
    <mergeCell ref="B1536:B1538"/>
    <mergeCell ref="B1530:B1532"/>
    <mergeCell ref="A714:A716"/>
    <mergeCell ref="A1224:A1226"/>
    <mergeCell ref="C447:C449"/>
    <mergeCell ref="A708:A710"/>
    <mergeCell ref="A2196:A2198"/>
    <mergeCell ref="A1137:A1139"/>
    <mergeCell ref="B1407:B1409"/>
    <mergeCell ref="A42:A44"/>
    <mergeCell ref="C474:C476"/>
    <mergeCell ref="B804:B806"/>
    <mergeCell ref="A1014:A1016"/>
    <mergeCell ref="A1008:A1010"/>
    <mergeCell ref="C1962:C1964"/>
    <mergeCell ref="C903:C905"/>
    <mergeCell ref="C1956:C1958"/>
    <mergeCell ref="A411:A413"/>
    <mergeCell ref="B1134:B1136"/>
    <mergeCell ref="A1893:A1895"/>
    <mergeCell ref="C774:C776"/>
    <mergeCell ref="C2262:C2264"/>
    <mergeCell ref="B2019:B2021"/>
    <mergeCell ref="B372:B374"/>
    <mergeCell ref="C1230:C1232"/>
    <mergeCell ref="A711:A713"/>
    <mergeCell ref="C1659:C1661"/>
    <mergeCell ref="B837:B839"/>
    <mergeCell ref="B2319:B2321"/>
    <mergeCell ref="C1530:C1532"/>
    <mergeCell ref="B1137:B1139"/>
    <mergeCell ref="A1611:A1613"/>
    <mergeCell ref="A429:A431"/>
    <mergeCell ref="A423:A425"/>
    <mergeCell ref="A1911:A1913"/>
    <mergeCell ref="C495:C497"/>
    <mergeCell ref="C180:C182"/>
    <mergeCell ref="C609:C611"/>
    <mergeCell ref="B819:B821"/>
    <mergeCell ref="A1185:A1187"/>
    <mergeCell ref="A126:A128"/>
    <mergeCell ref="C1581:C1583"/>
    <mergeCell ref="C795:C797"/>
    <mergeCell ref="B87:B89"/>
    <mergeCell ref="C1881:C1883"/>
    <mergeCell ref="B1575:B1577"/>
    <mergeCell ref="C213:C215"/>
    <mergeCell ref="B543:B545"/>
    <mergeCell ref="B1488:B1490"/>
    <mergeCell ref="A1182:A1184"/>
    <mergeCell ref="A150:A152"/>
    <mergeCell ref="B1602:B1604"/>
    <mergeCell ref="B1875:B1877"/>
    <mergeCell ref="C513:C515"/>
    <mergeCell ref="A1053:A1055"/>
    <mergeCell ref="C942:C944"/>
    <mergeCell ref="B1788:B1790"/>
    <mergeCell ref="A1482:A1484"/>
    <mergeCell ref="A450:A452"/>
    <mergeCell ref="B1902:B1904"/>
    <mergeCell ref="B2244:B2246"/>
    <mergeCell ref="C1599:C1601"/>
    <mergeCell ref="C2028:C2030"/>
    <mergeCell ref="A1536:A1538"/>
    <mergeCell ref="A477:A479"/>
    <mergeCell ref="C210:C212"/>
    <mergeCell ref="A750:A752"/>
    <mergeCell ref="C1899:C1901"/>
    <mergeCell ref="C2328:C2330"/>
    <mergeCell ref="C1296:C1298"/>
    <mergeCell ref="B990:B992"/>
    <mergeCell ref="B1506:B1508"/>
    <mergeCell ref="A1836:A1838"/>
    <mergeCell ref="A2265:A2267"/>
    <mergeCell ref="B1962:B1964"/>
    <mergeCell ref="B903:B905"/>
    <mergeCell ref="C114:C116"/>
    <mergeCell ref="C1596:C1598"/>
    <mergeCell ref="B780:B782"/>
    <mergeCell ref="B1290:B1292"/>
    <mergeCell ref="A468:A470"/>
    <mergeCell ref="B2262:B2264"/>
    <mergeCell ref="A897:A899"/>
    <mergeCell ref="A381:A383"/>
    <mergeCell ref="B1659:B1661"/>
    <mergeCell ref="A1869:A1871"/>
    <mergeCell ref="A1554:A1556"/>
    <mergeCell ref="C138:C140"/>
    <mergeCell ref="A1983:A1985"/>
    <mergeCell ref="A1266:A1268"/>
    <mergeCell ref="B477:B479"/>
    <mergeCell ref="C567:C569"/>
    <mergeCell ref="C1278:C1280"/>
    <mergeCell ref="A2169:A2171"/>
    <mergeCell ref="A1854:A1856"/>
    <mergeCell ref="A795:A797"/>
    <mergeCell ref="C438:C440"/>
    <mergeCell ref="A2283:A2285"/>
    <mergeCell ref="C867:C869"/>
    <mergeCell ref="B159:B161"/>
    <mergeCell ref="C738:C740"/>
    <mergeCell ref="C1167:C1169"/>
    <mergeCell ref="B1641:B1643"/>
    <mergeCell ref="A819:A821"/>
    <mergeCell ref="B1677:B1679"/>
    <mergeCell ref="B2106:B2108"/>
    <mergeCell ref="B459:B461"/>
    <mergeCell ref="C2253:C2255"/>
    <mergeCell ref="B915:B917"/>
    <mergeCell ref="A66:A68"/>
    <mergeCell ref="B1977:B1979"/>
    <mergeCell ref="B1860:B1862"/>
    <mergeCell ref="C2067:C2069"/>
    <mergeCell ref="A522:A524"/>
    <mergeCell ref="A1575:A1577"/>
    <mergeCell ref="A516:A518"/>
    <mergeCell ref="C885:C887"/>
    <mergeCell ref="A393:A395"/>
    <mergeCell ref="C1341:C1343"/>
    <mergeCell ref="C282:C284"/>
    <mergeCell ref="A822:A824"/>
    <mergeCell ref="C1335:C1337"/>
    <mergeCell ref="C1254:C1256"/>
    <mergeCell ref="B942:B944"/>
    <mergeCell ref="A1788:A1790"/>
    <mergeCell ref="C153:C155"/>
    <mergeCell ref="B510:B512"/>
    <mergeCell ref="A849:A851"/>
    <mergeCell ref="C1641:C1643"/>
    <mergeCell ref="B546:B548"/>
    <mergeCell ref="C582:C584"/>
    <mergeCell ref="B189:B191"/>
    <mergeCell ref="C1668:C1670"/>
    <mergeCell ref="B1362:B1364"/>
    <mergeCell ref="B846:B848"/>
    <mergeCell ref="C936:C938"/>
    <mergeCell ref="B1275:B1277"/>
    <mergeCell ref="B2328:B2330"/>
    <mergeCell ref="C1539:C1541"/>
    <mergeCell ref="A990:A992"/>
    <mergeCell ref="A1506:A1508"/>
    <mergeCell ref="C1968:C1970"/>
    <mergeCell ref="A1935:A1937"/>
    <mergeCell ref="B1146:B1148"/>
    <mergeCell ref="C1236:C1238"/>
    <mergeCell ref="A237:A239"/>
    <mergeCell ref="A753:A755"/>
    <mergeCell ref="B2031:B2033"/>
    <mergeCell ref="A1209:A1211"/>
    <mergeCell ref="A2235:A2237"/>
    <mergeCell ref="C510:C512"/>
    <mergeCell ref="A108:A110"/>
    <mergeCell ref="C504:C506"/>
    <mergeCell ref="C1992:C1994"/>
    <mergeCell ref="C933:C935"/>
    <mergeCell ref="B225:B227"/>
    <mergeCell ref="B567:B569"/>
    <mergeCell ref="C207:C209"/>
    <mergeCell ref="B681:B683"/>
    <mergeCell ref="B525:B527"/>
    <mergeCell ref="B867:B869"/>
    <mergeCell ref="B561:B563"/>
    <mergeCell ref="C651:C653"/>
    <mergeCell ref="B2049:B2051"/>
    <mergeCell ref="A159:A161"/>
    <mergeCell ref="A588:A590"/>
    <mergeCell ref="A2106:A2108"/>
    <mergeCell ref="A459:A461"/>
    <mergeCell ref="C354:C356"/>
    <mergeCell ref="C1407:C1409"/>
    <mergeCell ref="C348:C350"/>
    <mergeCell ref="A888:A890"/>
    <mergeCell ref="B585:B587"/>
    <mergeCell ref="A924:A926"/>
    <mergeCell ref="B1014:B1016"/>
    <mergeCell ref="A1860:A1862"/>
    <mergeCell ref="C225:C227"/>
    <mergeCell ref="C654:C656"/>
    <mergeCell ref="A1974:A1976"/>
    <mergeCell ref="C681:C683"/>
    <mergeCell ref="C648:C650"/>
    <mergeCell ref="C1707:C1709"/>
    <mergeCell ref="B885:B887"/>
    <mergeCell ref="B1314:B1316"/>
    <mergeCell ref="A2160:A2162"/>
    <mergeCell ref="B282:B284"/>
    <mergeCell ref="C981:C983"/>
    <mergeCell ref="A606:A608"/>
    <mergeCell ref="A2088:A2090"/>
    <mergeCell ref="A3:A5"/>
    <mergeCell ref="B582:B584"/>
    <mergeCell ref="A189:A191"/>
    <mergeCell ref="C276:C278"/>
    <mergeCell ref="B1668:B1670"/>
    <mergeCell ref="A1362:A1364"/>
    <mergeCell ref="A303:A305"/>
    <mergeCell ref="A1878:A1880"/>
    <mergeCell ref="A2307:A2309"/>
    <mergeCell ref="C1794:C1796"/>
    <mergeCell ref="A1275:A1277"/>
    <mergeCell ref="C576:C578"/>
    <mergeCell ref="C1128:C1130"/>
    <mergeCell ref="C1638:C1640"/>
    <mergeCell ref="A2178:A2180"/>
    <mergeCell ref="A93:A95"/>
    <mergeCell ref="A1662:A1664"/>
    <mergeCell ref="B300:B302"/>
    <mergeCell ref="C2094:C2096"/>
    <mergeCell ref="C876:C878"/>
    <mergeCell ref="A2031:A2033"/>
    <mergeCell ref="B939:B941"/>
    <mergeCell ref="B2001:B2003"/>
    <mergeCell ref="B1239:B1241"/>
    <mergeCell ref="A1749:A1751"/>
    <mergeCell ref="A690:A692"/>
    <mergeCell ref="A531:A533"/>
    <mergeCell ref="A1593:A1595"/>
    <mergeCell ref="B1683:B1685"/>
    <mergeCell ref="A2022:A2024"/>
    <mergeCell ref="A2049:A2051"/>
    <mergeCell ref="A1926:A1928"/>
    <mergeCell ref="C291:C293"/>
    <mergeCell ref="A831:A833"/>
    <mergeCell ref="C1779:C1781"/>
    <mergeCell ref="C747:C749"/>
    <mergeCell ref="C1773:C1775"/>
    <mergeCell ref="C1692:C1694"/>
    <mergeCell ref="A2232:A2234"/>
    <mergeCell ref="B354:B356"/>
    <mergeCell ref="C1650:C1652"/>
    <mergeCell ref="A558:A560"/>
    <mergeCell ref="C2079:C2081"/>
    <mergeCell ref="C1047:C1049"/>
    <mergeCell ref="A2046:A2048"/>
    <mergeCell ref="B1257:B1259"/>
    <mergeCell ref="B198:B200"/>
    <mergeCell ref="B654:B656"/>
    <mergeCell ref="B1707:B1709"/>
    <mergeCell ref="B1626:B1628"/>
    <mergeCell ref="A1320:A1322"/>
    <mergeCell ref="A261:A263"/>
    <mergeCell ref="A1314:A1316"/>
    <mergeCell ref="B954:B956"/>
    <mergeCell ref="A132:A134"/>
    <mergeCell ref="C1080:C1082"/>
    <mergeCell ref="B1926:B1928"/>
    <mergeCell ref="A561:A563"/>
    <mergeCell ref="A246:A248"/>
    <mergeCell ref="B2040:B2042"/>
    <mergeCell ref="C2166:C2168"/>
    <mergeCell ref="A1647:A1649"/>
    <mergeCell ref="C1380:C1382"/>
    <mergeCell ref="B1854:B1856"/>
    <mergeCell ref="C948:C950"/>
    <mergeCell ref="B672:B674"/>
    <mergeCell ref="B1608:B1610"/>
    <mergeCell ref="B1128:B1130"/>
    <mergeCell ref="B69:B71"/>
    <mergeCell ref="B1644:B1646"/>
    <mergeCell ref="B1005:B1007"/>
    <mergeCell ref="B1041:B1043"/>
    <mergeCell ref="A729:A731"/>
    <mergeCell ref="B1908:B1910"/>
    <mergeCell ref="B1944:B1946"/>
    <mergeCell ref="C1431:C1433"/>
    <mergeCell ref="A597:A599"/>
    <mergeCell ref="B123:B125"/>
    <mergeCell ref="A633:A635"/>
    <mergeCell ref="C1302:C1304"/>
    <mergeCell ref="C243:C245"/>
    <mergeCell ref="A2121:A2123"/>
    <mergeCell ref="C363:C365"/>
    <mergeCell ref="C1731:C1733"/>
    <mergeCell ref="C1416:C1418"/>
    <mergeCell ref="A933:A935"/>
    <mergeCell ref="B1023:B1025"/>
    <mergeCell ref="C1005:C1007"/>
    <mergeCell ref="C663:C665"/>
    <mergeCell ref="C1119:C1121"/>
    <mergeCell ref="A1086:A1088"/>
    <mergeCell ref="B297:B299"/>
    <mergeCell ref="B1323:B1325"/>
    <mergeCell ref="B291:B293"/>
    <mergeCell ref="B726:B728"/>
    <mergeCell ref="B1779:B1781"/>
    <mergeCell ref="B720:B722"/>
    <mergeCell ref="A930:A932"/>
    <mergeCell ref="B1692:B1694"/>
    <mergeCell ref="A1386:A1388"/>
    <mergeCell ref="B597:B599"/>
    <mergeCell ref="A354:A356"/>
    <mergeCell ref="B2079:B2081"/>
    <mergeCell ref="B1020:B1022"/>
    <mergeCell ref="C717:C719"/>
    <mergeCell ref="C84:C86"/>
    <mergeCell ref="A1257:A1259"/>
    <mergeCell ref="A198:A200"/>
    <mergeCell ref="C2205:C2207"/>
    <mergeCell ref="C1146:C1148"/>
    <mergeCell ref="A1686:A1688"/>
    <mergeCell ref="A654:A656"/>
    <mergeCell ref="C2118:C2120"/>
    <mergeCell ref="C1023:C1025"/>
    <mergeCell ref="B438:B440"/>
    <mergeCell ref="C2232:C2234"/>
    <mergeCell ref="A1713:A1715"/>
    <mergeCell ref="C420:C422"/>
    <mergeCell ref="B2112:B2114"/>
    <mergeCell ref="B738:B740"/>
    <mergeCell ref="B1080:B1082"/>
    <mergeCell ref="B2226:B2228"/>
    <mergeCell ref="C720:C722"/>
    <mergeCell ref="A372:A374"/>
    <mergeCell ref="B2139:B2141"/>
    <mergeCell ref="B327:B329"/>
    <mergeCell ref="A801:A803"/>
    <mergeCell ref="B1380:B1382"/>
    <mergeCell ref="B948:B950"/>
    <mergeCell ref="C1806:C1808"/>
    <mergeCell ref="C15:C17"/>
    <mergeCell ref="A672:A674"/>
    <mergeCell ref="A1608:A1610"/>
    <mergeCell ref="A1101:A1103"/>
    <mergeCell ref="A69:A71"/>
    <mergeCell ref="A2037:A2039"/>
    <mergeCell ref="A2073:A2075"/>
    <mergeCell ref="C1374:C1376"/>
    <mergeCell ref="C315:C317"/>
    <mergeCell ref="C1920:C1922"/>
    <mergeCell ref="A375:A377"/>
    <mergeCell ref="C771:C773"/>
    <mergeCell ref="A369:A371"/>
    <mergeCell ref="A252:A254"/>
    <mergeCell ref="A1311:A1313"/>
    <mergeCell ref="C1674:C1676"/>
    <mergeCell ref="C615:C617"/>
    <mergeCell ref="C2130:C2132"/>
    <mergeCell ref="C1071:C1073"/>
    <mergeCell ref="B363:B365"/>
    <mergeCell ref="B1425:B1427"/>
    <mergeCell ref="B2160:B2162"/>
    <mergeCell ref="A2055:A2057"/>
    <mergeCell ref="B663:B665"/>
    <mergeCell ref="B2151:B2153"/>
    <mergeCell ref="C789:C791"/>
    <mergeCell ref="A270:A272"/>
    <mergeCell ref="A1323:A1325"/>
    <mergeCell ref="C1218:C1220"/>
    <mergeCell ref="B2064:B2066"/>
    <mergeCell ref="A1758:A1760"/>
    <mergeCell ref="A726:A728"/>
    <mergeCell ref="A1752:A1754"/>
    <mergeCell ref="B963:B965"/>
    <mergeCell ref="C1089:C1091"/>
    <mergeCell ref="C30:C32"/>
    <mergeCell ref="A570:A572"/>
    <mergeCell ref="C1518:C1520"/>
    <mergeCell ref="C1545:C1547"/>
    <mergeCell ref="C486:C488"/>
    <mergeCell ref="A1026:A1028"/>
    <mergeCell ref="B1152:B1154"/>
    <mergeCell ref="B93:B95"/>
    <mergeCell ref="B2178:B2180"/>
    <mergeCell ref="C1845:C1847"/>
    <mergeCell ref="C786:C788"/>
    <mergeCell ref="A1326:A1328"/>
    <mergeCell ref="A1812:A1814"/>
    <mergeCell ref="A2298:A2300"/>
    <mergeCell ref="B1452:B1454"/>
    <mergeCell ref="C2145:C2147"/>
    <mergeCell ref="C60:C62"/>
    <mergeCell ref="A2112:A2114"/>
    <mergeCell ref="A27:A29"/>
    <mergeCell ref="B1479:B1481"/>
    <mergeCell ref="A1173:A1175"/>
    <mergeCell ref="A2226:A2228"/>
    <mergeCell ref="A141:A143"/>
    <mergeCell ref="B1752:B1754"/>
    <mergeCell ref="A2139:A2141"/>
    <mergeCell ref="A1044:A1046"/>
    <mergeCell ref="A327:A329"/>
    <mergeCell ref="C1440:C1442"/>
    <mergeCell ref="A1980:A1982"/>
    <mergeCell ref="A1473:A1475"/>
    <mergeCell ref="C1746:C1748"/>
    <mergeCell ref="C714:C716"/>
    <mergeCell ref="C1740:C1742"/>
    <mergeCell ref="C42:C44"/>
    <mergeCell ref="A9:A11"/>
    <mergeCell ref="B1803:B1805"/>
    <mergeCell ref="B744:B746"/>
    <mergeCell ref="C1014:C1016"/>
    <mergeCell ref="B1917:B1919"/>
    <mergeCell ref="C1443:C1445"/>
    <mergeCell ref="B615:B617"/>
    <mergeCell ref="B1167:B1169"/>
    <mergeCell ref="B735:B737"/>
    <mergeCell ref="B2103:B2105"/>
    <mergeCell ref="C75:C77"/>
    <mergeCell ref="A1395:A1397"/>
    <mergeCell ref="B1377:B1379"/>
    <mergeCell ref="A792:A794"/>
    <mergeCell ref="C1161:C1163"/>
    <mergeCell ref="C129:C131"/>
    <mergeCell ref="C1155:C1157"/>
    <mergeCell ref="A1695:A1697"/>
    <mergeCell ref="C1611:C1613"/>
    <mergeCell ref="A2151:A2153"/>
    <mergeCell ref="B1821:B1823"/>
    <mergeCell ref="A1092:A1094"/>
    <mergeCell ref="B762:B764"/>
    <mergeCell ref="B1218:B1220"/>
    <mergeCell ref="A2064:A2066"/>
    <mergeCell ref="C429:C431"/>
    <mergeCell ref="C1917:C1919"/>
    <mergeCell ref="C858:C860"/>
    <mergeCell ref="C1911:C1913"/>
    <mergeCell ref="B36:B38"/>
    <mergeCell ref="B1524:B1526"/>
    <mergeCell ref="B1518:B1520"/>
    <mergeCell ref="C729:C731"/>
    <mergeCell ref="A696:A698"/>
    <mergeCell ref="C1158:C1160"/>
    <mergeCell ref="A2184:A2186"/>
    <mergeCell ref="A1125:A1127"/>
    <mergeCell ref="B336:B338"/>
    <mergeCell ref="A810:A812"/>
    <mergeCell ref="B792:B794"/>
    <mergeCell ref="B1818:B1820"/>
    <mergeCell ref="B786:B788"/>
    <mergeCell ref="A2211:A2213"/>
    <mergeCell ref="A399:A401"/>
    <mergeCell ref="A1425:A1427"/>
    <mergeCell ref="A84:A86"/>
    <mergeCell ref="B1851:B1853"/>
    <mergeCell ref="A1479:A1481"/>
    <mergeCell ref="C780:C782"/>
    <mergeCell ref="B387:B389"/>
    <mergeCell ref="B1992:B1994"/>
    <mergeCell ref="B1905:B1907"/>
    <mergeCell ref="B1746:B1748"/>
    <mergeCell ref="B171:B173"/>
    <mergeCell ref="B687:B689"/>
    <mergeCell ref="B2292:B2294"/>
    <mergeCell ref="B2175:B2177"/>
    <mergeCell ref="B2169:B2171"/>
    <mergeCell ref="C927:C929"/>
    <mergeCell ref="B2046:B2048"/>
    <mergeCell ref="B987:B989"/>
    <mergeCell ref="B1872:B1874"/>
    <mergeCell ref="C1227:C1229"/>
    <mergeCell ref="C1569:C1571"/>
    <mergeCell ref="A1767:A1769"/>
    <mergeCell ref="A114:A116"/>
    <mergeCell ref="A735:A737"/>
    <mergeCell ref="C468:C470"/>
    <mergeCell ref="A1164:A1166"/>
    <mergeCell ref="C381:C383"/>
    <mergeCell ref="B75:B77"/>
    <mergeCell ref="C501:C503"/>
    <mergeCell ref="C1527:C1529"/>
    <mergeCell ref="C1554:C1556"/>
    <mergeCell ref="C1869:C1871"/>
    <mergeCell ref="C2298:C2300"/>
    <mergeCell ref="B2193:B2195"/>
    <mergeCell ref="A1464:A1466"/>
    <mergeCell ref="B1161:B1163"/>
    <mergeCell ref="B102:B104"/>
    <mergeCell ref="B1590:B1592"/>
    <mergeCell ref="C2169:C2171"/>
    <mergeCell ref="C1854:C1856"/>
    <mergeCell ref="A2250:A2252"/>
    <mergeCell ref="B1461:B1463"/>
    <mergeCell ref="B402:B404"/>
    <mergeCell ref="B1890:B1892"/>
    <mergeCell ref="B858:B860"/>
    <mergeCell ref="A1068:A1070"/>
    <mergeCell ref="B1287:B1289"/>
    <mergeCell ref="C984:C986"/>
    <mergeCell ref="A1524:A1526"/>
    <mergeCell ref="A465:A467"/>
    <mergeCell ref="A1947:A1949"/>
    <mergeCell ref="C1887:C1889"/>
    <mergeCell ref="B1158:B1160"/>
    <mergeCell ref="A1368:A1370"/>
    <mergeCell ref="C1248:C1250"/>
    <mergeCell ref="A336:A338"/>
    <mergeCell ref="C1284:C1286"/>
    <mergeCell ref="A1824:A1826"/>
    <mergeCell ref="A765:A767"/>
    <mergeCell ref="A1818:A1820"/>
    <mergeCell ref="C66:C68"/>
    <mergeCell ref="A1851:A1853"/>
    <mergeCell ref="C1584:C1586"/>
    <mergeCell ref="B840:B842"/>
    <mergeCell ref="B1812:B1814"/>
    <mergeCell ref="B2277:B2279"/>
    <mergeCell ref="A939:A941"/>
    <mergeCell ref="A1965:A1967"/>
    <mergeCell ref="B1086:B1088"/>
    <mergeCell ref="C2238:C2240"/>
    <mergeCell ref="A1203:A1205"/>
    <mergeCell ref="A687:A689"/>
    <mergeCell ref="A1239:A1241"/>
    <mergeCell ref="A1233:A1235"/>
    <mergeCell ref="A1116:A1118"/>
    <mergeCell ref="A2175:A2177"/>
    <mergeCell ref="C969:C971"/>
    <mergeCell ref="A2289:A2291"/>
    <mergeCell ref="C453:C455"/>
    <mergeCell ref="C963:C965"/>
    <mergeCell ref="C1941:C1943"/>
    <mergeCell ref="C882:C884"/>
    <mergeCell ref="A1539:A1541"/>
    <mergeCell ref="C1935:C1937"/>
    <mergeCell ref="A1107:A1109"/>
    <mergeCell ref="C840:C842"/>
    <mergeCell ref="B174:B176"/>
    <mergeCell ref="C753:C755"/>
    <mergeCell ref="B447:B449"/>
    <mergeCell ref="C1209:C1211"/>
    <mergeCell ref="C2235:C2237"/>
    <mergeCell ref="A834:A836"/>
    <mergeCell ref="A2322:A2324"/>
    <mergeCell ref="B1533:B1535"/>
    <mergeCell ref="B474:B476"/>
    <mergeCell ref="B501:B503"/>
    <mergeCell ref="B1527:B1529"/>
    <mergeCell ref="B1983:B1985"/>
    <mergeCell ref="C1509:C1511"/>
    <mergeCell ref="A2193:A2195"/>
    <mergeCell ref="A1134:A1136"/>
    <mergeCell ref="B774:B776"/>
    <mergeCell ref="A1590:A1592"/>
    <mergeCell ref="B801:B803"/>
    <mergeCell ref="B1230:B1232"/>
    <mergeCell ref="C1953:C1955"/>
    <mergeCell ref="A408:A410"/>
    <mergeCell ref="A402:A404"/>
    <mergeCell ref="C1356:C1358"/>
    <mergeCell ref="A837:A839"/>
    <mergeCell ref="A1890:A1892"/>
    <mergeCell ref="B1101:B1103"/>
    <mergeCell ref="A1287:A1289"/>
    <mergeCell ref="C168:C170"/>
    <mergeCell ref="C1656:C1658"/>
    <mergeCell ref="C624:C626"/>
    <mergeCell ref="A2190:A2192"/>
    <mergeCell ref="B828:B830"/>
    <mergeCell ref="B195:B197"/>
    <mergeCell ref="B2316:B2318"/>
    <mergeCell ref="B231:B233"/>
    <mergeCell ref="C924:C926"/>
    <mergeCell ref="A891:A893"/>
    <mergeCell ref="B1554:B1556"/>
    <mergeCell ref="B495:B497"/>
    <mergeCell ref="C2310:C2312"/>
    <mergeCell ref="A1908:A1910"/>
    <mergeCell ref="A1191:A1193"/>
    <mergeCell ref="C606:C608"/>
    <mergeCell ref="A123:A125"/>
    <mergeCell ref="C1578:C1580"/>
    <mergeCell ref="B213:B215"/>
    <mergeCell ref="A552:A554"/>
    <mergeCell ref="C2007:C2009"/>
    <mergeCell ref="C309:C311"/>
    <mergeCell ref="C825:C827"/>
    <mergeCell ref="C1878:C1880"/>
    <mergeCell ref="B513:B515"/>
    <mergeCell ref="C2307:C2309"/>
    <mergeCell ref="C1275:C1277"/>
    <mergeCell ref="B1941:B1943"/>
    <mergeCell ref="B882:B884"/>
    <mergeCell ref="C2178:C2180"/>
    <mergeCell ref="C93:C95"/>
    <mergeCell ref="A2259:A2261"/>
    <mergeCell ref="A174:A176"/>
    <mergeCell ref="B210:B212"/>
    <mergeCell ref="A447:A449"/>
    <mergeCell ref="B2241:B2243"/>
    <mergeCell ref="C993:C995"/>
    <mergeCell ref="A1533:A1535"/>
    <mergeCell ref="A474:A476"/>
    <mergeCell ref="C1422:C1424"/>
    <mergeCell ref="A1962:A1964"/>
    <mergeCell ref="B456:B458"/>
    <mergeCell ref="C1299:C1301"/>
    <mergeCell ref="C240:C242"/>
    <mergeCell ref="C2325:C2327"/>
    <mergeCell ref="C1293:C1295"/>
    <mergeCell ref="A1833:A1835"/>
    <mergeCell ref="A774:A776"/>
    <mergeCell ref="C1722:C1724"/>
    <mergeCell ref="A2262:A2264"/>
    <mergeCell ref="B1959:B1961"/>
    <mergeCell ref="B900:B902"/>
    <mergeCell ref="A1230:A1232"/>
    <mergeCell ref="A1659:A1661"/>
    <mergeCell ref="B1356:B1358"/>
    <mergeCell ref="B138:B140"/>
    <mergeCell ref="C996:C998"/>
    <mergeCell ref="C2022:C2024"/>
    <mergeCell ref="B2259:B2261"/>
    <mergeCell ref="B1200:B1202"/>
    <mergeCell ref="B1656:B1658"/>
    <mergeCell ref="B2085:B2087"/>
    <mergeCell ref="A1263:A1265"/>
    <mergeCell ref="B1956:B1958"/>
    <mergeCell ref="C2046:C2048"/>
    <mergeCell ref="A1563:A1565"/>
    <mergeCell ref="C864:C866"/>
    <mergeCell ref="B2310:B2312"/>
    <mergeCell ref="C261:C263"/>
    <mergeCell ref="C132:C134"/>
    <mergeCell ref="C561:C563"/>
    <mergeCell ref="B1035:B1037"/>
    <mergeCell ref="A1245:A1247"/>
    <mergeCell ref="C2250:C2252"/>
    <mergeCell ref="A63:A65"/>
    <mergeCell ref="C1647:C1649"/>
    <mergeCell ref="B1341:B1343"/>
    <mergeCell ref="B1857:B1859"/>
    <mergeCell ref="B309:B311"/>
    <mergeCell ref="B825:B827"/>
    <mergeCell ref="B1335:B1337"/>
    <mergeCell ref="A513:A515"/>
    <mergeCell ref="B1254:B1256"/>
    <mergeCell ref="B2307:B2309"/>
    <mergeCell ref="B153:B155"/>
    <mergeCell ref="C279:C281"/>
    <mergeCell ref="B1125:B1127"/>
    <mergeCell ref="A1599:A1601"/>
    <mergeCell ref="A2028:A2030"/>
    <mergeCell ref="C1365:C1367"/>
    <mergeCell ref="A1899:A1901"/>
    <mergeCell ref="A87:A89"/>
    <mergeCell ref="A2328:A2330"/>
    <mergeCell ref="B2025:B2027"/>
    <mergeCell ref="C1665:C1667"/>
    <mergeCell ref="B1272:B1274"/>
    <mergeCell ref="A1602:A1604"/>
    <mergeCell ref="B2325:B2327"/>
    <mergeCell ref="B240:B242"/>
    <mergeCell ref="B669:B671"/>
    <mergeCell ref="B1722:B1724"/>
    <mergeCell ref="C201:C203"/>
    <mergeCell ref="A1329:A1331"/>
    <mergeCell ref="B540:B542"/>
    <mergeCell ref="A234:A236"/>
    <mergeCell ref="C630:C632"/>
    <mergeCell ref="B2028:B2030"/>
    <mergeCell ref="B2022:B2024"/>
    <mergeCell ref="A1206:A1208"/>
    <mergeCell ref="A147:A149"/>
    <mergeCell ref="C1086:C1088"/>
    <mergeCell ref="A1200:A1202"/>
    <mergeCell ref="C2148:C2150"/>
    <mergeCell ref="A1635:A1637"/>
    <mergeCell ref="C1053:C1055"/>
    <mergeCell ref="C930:C932"/>
    <mergeCell ref="A1470:A1472"/>
    <mergeCell ref="C1386:C1388"/>
    <mergeCell ref="C327:C329"/>
    <mergeCell ref="A903:A905"/>
    <mergeCell ref="C204:C206"/>
    <mergeCell ref="C633:C635"/>
    <mergeCell ref="B1293:B1295"/>
    <mergeCell ref="B261:B263"/>
    <mergeCell ref="B1950:B1952"/>
    <mergeCell ref="A585:A587"/>
    <mergeCell ref="C1533:C1535"/>
    <mergeCell ref="A2067:A2069"/>
    <mergeCell ref="B1593:B1595"/>
    <mergeCell ref="A2103:A2105"/>
    <mergeCell ref="B2250:B2252"/>
    <mergeCell ref="C345:C347"/>
    <mergeCell ref="A885:A887"/>
    <mergeCell ref="C1833:C1835"/>
    <mergeCell ref="C801:C803"/>
    <mergeCell ref="C1317:C1319"/>
    <mergeCell ref="A1341:A1343"/>
    <mergeCell ref="A282:A284"/>
    <mergeCell ref="A2286:A2288"/>
    <mergeCell ref="B408:B410"/>
    <mergeCell ref="A1254:A1256"/>
    <mergeCell ref="B2097:B2099"/>
    <mergeCell ref="C48:C50"/>
    <mergeCell ref="C2133:C2135"/>
    <mergeCell ref="C1101:C1103"/>
    <mergeCell ref="C1617:C1619"/>
    <mergeCell ref="A72:A74"/>
    <mergeCell ref="B279:B281"/>
    <mergeCell ref="C2073:C2075"/>
    <mergeCell ref="B708:B710"/>
    <mergeCell ref="B1365:B1367"/>
    <mergeCell ref="B1794:B1796"/>
    <mergeCell ref="A972:A974"/>
    <mergeCell ref="A1401:A1403"/>
    <mergeCell ref="B612:B614"/>
    <mergeCell ref="B1665:B1667"/>
    <mergeCell ref="A300:A302"/>
    <mergeCell ref="B2094:B2096"/>
    <mergeCell ref="A1272:A1274"/>
    <mergeCell ref="A1701:A1703"/>
    <mergeCell ref="A669:A671"/>
    <mergeCell ref="B1965:B1967"/>
    <mergeCell ref="C2055:C2057"/>
    <mergeCell ref="A1572:A1574"/>
    <mergeCell ref="C873:C875"/>
    <mergeCell ref="A2001:A2003"/>
    <mergeCell ref="C1488:C1490"/>
    <mergeCell ref="C270:C272"/>
    <mergeCell ref="C1758:C1760"/>
    <mergeCell ref="B930:B932"/>
    <mergeCell ref="C1788:C1790"/>
    <mergeCell ref="B1359:B1361"/>
    <mergeCell ref="B1236:B1238"/>
    <mergeCell ref="B177:B179"/>
    <mergeCell ref="A651:A653"/>
    <mergeCell ref="B633:B635"/>
    <mergeCell ref="C759:C761"/>
    <mergeCell ref="C1785:C1787"/>
    <mergeCell ref="A987:A989"/>
    <mergeCell ref="C288:C290"/>
    <mergeCell ref="A225:A227"/>
    <mergeCell ref="C1173:C1175"/>
    <mergeCell ref="C657:C659"/>
    <mergeCell ref="B351:B353"/>
    <mergeCell ref="A1197:A1199"/>
    <mergeCell ref="A1626:A1628"/>
    <mergeCell ref="B1833:B1835"/>
    <mergeCell ref="B264:B266"/>
    <mergeCell ref="C1044:C1046"/>
    <mergeCell ref="A1011:A1013"/>
    <mergeCell ref="C1473:C1475"/>
    <mergeCell ref="C957:C959"/>
    <mergeCell ref="A1440:A1442"/>
    <mergeCell ref="B651:B653"/>
    <mergeCell ref="B2133:B2135"/>
    <mergeCell ref="B48:B50"/>
    <mergeCell ref="B2052:B2054"/>
    <mergeCell ref="B1737:B1739"/>
    <mergeCell ref="A1740:A1742"/>
    <mergeCell ref="B2166:B2168"/>
    <mergeCell ref="C9:C11"/>
    <mergeCell ref="A1344:A1346"/>
    <mergeCell ref="B348:B350"/>
    <mergeCell ref="B2037:B2039"/>
    <mergeCell ref="A1644:A1646"/>
    <mergeCell ref="C72:C74"/>
    <mergeCell ref="A612:A614"/>
    <mergeCell ref="B648:B650"/>
    <mergeCell ref="A1041:A1043"/>
    <mergeCell ref="A2094:A2096"/>
    <mergeCell ref="C342:C344"/>
    <mergeCell ref="C1404:C1406"/>
    <mergeCell ref="B66:B68"/>
    <mergeCell ref="A912:A914"/>
    <mergeCell ref="B1002:B1004"/>
    <mergeCell ref="C1860:C1862"/>
    <mergeCell ref="C642:C644"/>
    <mergeCell ref="B873:B875"/>
    <mergeCell ref="B276:B278"/>
    <mergeCell ref="B1302:B1304"/>
    <mergeCell ref="C2160:C2162"/>
    <mergeCell ref="C1428:C1430"/>
    <mergeCell ref="C369:C371"/>
    <mergeCell ref="C1884:C1886"/>
    <mergeCell ref="A1365:A1367"/>
    <mergeCell ref="C702:C704"/>
    <mergeCell ref="C1728:C1730"/>
    <mergeCell ref="C696:C698"/>
    <mergeCell ref="A177:A179"/>
    <mergeCell ref="C1131:C1133"/>
    <mergeCell ref="C2184:C2186"/>
    <mergeCell ref="C1125:C1127"/>
    <mergeCell ref="C1842:C1844"/>
    <mergeCell ref="A297:A299"/>
    <mergeCell ref="A1665:A1667"/>
    <mergeCell ref="C1002:C1004"/>
    <mergeCell ref="B417:B419"/>
    <mergeCell ref="C2211:C2213"/>
    <mergeCell ref="A1692:A1694"/>
    <mergeCell ref="C57:C59"/>
    <mergeCell ref="C399:C401"/>
    <mergeCell ref="C1425:C1427"/>
    <mergeCell ref="B288:B290"/>
    <mergeCell ref="B723:B725"/>
    <mergeCell ref="B717:B719"/>
    <mergeCell ref="B2205:B2207"/>
    <mergeCell ref="C357:C359"/>
    <mergeCell ref="C699:C701"/>
    <mergeCell ref="B1173:B1175"/>
    <mergeCell ref="A324:A326"/>
    <mergeCell ref="B114:B116"/>
    <mergeCell ref="B2118:B2120"/>
    <mergeCell ref="A780:A782"/>
    <mergeCell ref="B420:B422"/>
    <mergeCell ref="C1143:C1145"/>
    <mergeCell ref="B1989:B1991"/>
    <mergeCell ref="A1683:A1685"/>
    <mergeCell ref="B1473:B1475"/>
    <mergeCell ref="C540:C542"/>
    <mergeCell ref="A1080:A1082"/>
    <mergeCell ref="A2133:A2135"/>
    <mergeCell ref="A48:A50"/>
    <mergeCell ref="C417:C419"/>
    <mergeCell ref="C846:C848"/>
    <mergeCell ref="A2166:A2168"/>
    <mergeCell ref="A1380:A1382"/>
    <mergeCell ref="B18:B20"/>
    <mergeCell ref="B1104:B1106"/>
    <mergeCell ref="B9:B11"/>
    <mergeCell ref="C1803:C1805"/>
    <mergeCell ref="A2280:A2282"/>
    <mergeCell ref="A195:A197"/>
    <mergeCell ref="B1374:B1376"/>
    <mergeCell ref="B342:B344"/>
    <mergeCell ref="B1404:B1406"/>
    <mergeCell ref="A1098:A1100"/>
    <mergeCell ref="A2034:A2036"/>
    <mergeCell ref="A495:A497"/>
    <mergeCell ref="B1674:B1676"/>
    <mergeCell ref="A1431:A1433"/>
    <mergeCell ref="A1467:A1469"/>
    <mergeCell ref="C1800:C1802"/>
    <mergeCell ref="C768:C770"/>
    <mergeCell ref="A249:A251"/>
    <mergeCell ref="C1197:C1199"/>
    <mergeCell ref="A1737:A1739"/>
    <mergeCell ref="C2100:C2102"/>
    <mergeCell ref="B489:B491"/>
    <mergeCell ref="C1068:C1070"/>
    <mergeCell ref="A549:A551"/>
    <mergeCell ref="C1497:C1499"/>
    <mergeCell ref="C1524:C1526"/>
    <mergeCell ref="C465:C467"/>
    <mergeCell ref="B789:B791"/>
    <mergeCell ref="B72:B74"/>
    <mergeCell ref="B1131:B1133"/>
    <mergeCell ref="C1368:C1370"/>
    <mergeCell ref="B2157:B2159"/>
    <mergeCell ref="B1842:B1844"/>
    <mergeCell ref="C1797:C1799"/>
    <mergeCell ref="A1449:A1451"/>
    <mergeCell ref="B660:B662"/>
    <mergeCell ref="B1089:B1091"/>
    <mergeCell ref="B1431:B1433"/>
    <mergeCell ref="B57:B59"/>
    <mergeCell ref="A267:A269"/>
    <mergeCell ref="B1545:B1547"/>
    <mergeCell ref="C2268:C2270"/>
    <mergeCell ref="C183:C185"/>
    <mergeCell ref="A723:A725"/>
    <mergeCell ref="B243:B245"/>
    <mergeCell ref="C1671:C1673"/>
    <mergeCell ref="C612:C614"/>
    <mergeCell ref="A1152:A1154"/>
    <mergeCell ref="A2205:A2207"/>
    <mergeCell ref="A1146:A1148"/>
    <mergeCell ref="B1731:B1733"/>
    <mergeCell ref="C1515:C1517"/>
    <mergeCell ref="A2118:A2120"/>
    <mergeCell ref="B1845:B1847"/>
    <mergeCell ref="C483:C485"/>
    <mergeCell ref="A1023:A1025"/>
    <mergeCell ref="C1419:C1421"/>
    <mergeCell ref="C1971:C1973"/>
    <mergeCell ref="C912:C914"/>
    <mergeCell ref="C939:C941"/>
    <mergeCell ref="C1965:C1967"/>
    <mergeCell ref="A1452:A1454"/>
    <mergeCell ref="A420:A422"/>
    <mergeCell ref="B1572:B1574"/>
    <mergeCell ref="C783:C785"/>
    <mergeCell ref="C2271:C2273"/>
    <mergeCell ref="C186:C188"/>
    <mergeCell ref="C1212:C1214"/>
    <mergeCell ref="C1239:C1241"/>
    <mergeCell ref="B1449:B1451"/>
    <mergeCell ref="B390:B392"/>
    <mergeCell ref="B1878:B1880"/>
    <mergeCell ref="A138:A140"/>
    <mergeCell ref="A567:A569"/>
    <mergeCell ref="A2136:A2138"/>
    <mergeCell ref="A51:A53"/>
    <mergeCell ref="B714:B716"/>
    <mergeCell ref="A438:A440"/>
    <mergeCell ref="A1374:A1376"/>
    <mergeCell ref="A315:A317"/>
    <mergeCell ref="B2232:B2234"/>
    <mergeCell ref="A867:A869"/>
    <mergeCell ref="C2322:C2324"/>
    <mergeCell ref="A1839:A1841"/>
    <mergeCell ref="C1140:C1142"/>
    <mergeCell ref="A738:A740"/>
    <mergeCell ref="C1134:C1136"/>
    <mergeCell ref="C2193:C2195"/>
    <mergeCell ref="B1800:B1802"/>
    <mergeCell ref="B741:B743"/>
    <mergeCell ref="C1011:C1013"/>
    <mergeCell ref="C2019:C2021"/>
    <mergeCell ref="B1197:B1199"/>
    <mergeCell ref="C408:C410"/>
    <mergeCell ref="C1896:C1898"/>
    <mergeCell ref="C837:C839"/>
    <mergeCell ref="B2100:B2102"/>
    <mergeCell ref="B15:B17"/>
    <mergeCell ref="B444:B446"/>
    <mergeCell ref="B1497:B1499"/>
    <mergeCell ref="B129:B131"/>
    <mergeCell ref="C1623:C1625"/>
    <mergeCell ref="B315:B317"/>
    <mergeCell ref="A789:A791"/>
    <mergeCell ref="B429:B431"/>
    <mergeCell ref="B771:B773"/>
    <mergeCell ref="B1797:B1799"/>
    <mergeCell ref="C555:C557"/>
    <mergeCell ref="C1923:C1925"/>
    <mergeCell ref="C1608:C1610"/>
    <mergeCell ref="A36:A38"/>
    <mergeCell ref="C1491:C1493"/>
    <mergeCell ref="A1089:A1091"/>
    <mergeCell ref="A30:A32"/>
    <mergeCell ref="C2037:C2039"/>
    <mergeCell ref="B1215:B1217"/>
    <mergeCell ref="A486:A488"/>
    <mergeCell ref="A1545:A1547"/>
    <mergeCell ref="C855:C857"/>
    <mergeCell ref="C2223:C2225"/>
    <mergeCell ref="C1908:C1910"/>
    <mergeCell ref="B1671:B1673"/>
    <mergeCell ref="C1791:C1793"/>
    <mergeCell ref="A363:A365"/>
    <mergeCell ref="C1311:C1313"/>
    <mergeCell ref="B1515:B1517"/>
    <mergeCell ref="C2256:C2258"/>
    <mergeCell ref="B1971:B1973"/>
    <mergeCell ref="B912:B914"/>
    <mergeCell ref="C123:C125"/>
    <mergeCell ref="A90:A92"/>
    <mergeCell ref="A1578:A1580"/>
    <mergeCell ref="A519:A521"/>
    <mergeCell ref="B2271:B2273"/>
    <mergeCell ref="B186:B188"/>
    <mergeCell ref="B1212:B1214"/>
    <mergeCell ref="C423:C425"/>
    <mergeCell ref="A390:A392"/>
    <mergeCell ref="A510:A512"/>
    <mergeCell ref="C906:C908"/>
    <mergeCell ref="B30:B32"/>
    <mergeCell ref="C120:C122"/>
    <mergeCell ref="B486:B488"/>
    <mergeCell ref="A1476:A1478"/>
    <mergeCell ref="A1905:A1907"/>
    <mergeCell ref="C1206:C1208"/>
    <mergeCell ref="A1746:A1748"/>
    <mergeCell ref="A1776:A1778"/>
    <mergeCell ref="C1506:C1508"/>
    <mergeCell ref="C1542:C1544"/>
    <mergeCell ref="B2172:B2174"/>
    <mergeCell ref="B1140:B1142"/>
    <mergeCell ref="B81:B83"/>
    <mergeCell ref="B1569:B1571"/>
    <mergeCell ref="B468:B470"/>
    <mergeCell ref="A2229:A2231"/>
    <mergeCell ref="B1440:B1442"/>
    <mergeCell ref="B381:B383"/>
    <mergeCell ref="A75:A77"/>
    <mergeCell ref="B1869:B1871"/>
    <mergeCell ref="C1566:C1568"/>
    <mergeCell ref="C507:C509"/>
    <mergeCell ref="C1995:C1997"/>
    <mergeCell ref="B1266:B1268"/>
    <mergeCell ref="C621:C623"/>
    <mergeCell ref="A1161:A1163"/>
    <mergeCell ref="A444:A446"/>
    <mergeCell ref="A1155:A1157"/>
    <mergeCell ref="A129:A131"/>
    <mergeCell ref="C1866:C1868"/>
    <mergeCell ref="C807:C809"/>
    <mergeCell ref="C2295:C2297"/>
    <mergeCell ref="C1980:C1982"/>
    <mergeCell ref="C921:C923"/>
    <mergeCell ref="C1263:C1265"/>
    <mergeCell ref="A1461:A1463"/>
    <mergeCell ref="A744:A746"/>
    <mergeCell ref="A1803:A1805"/>
    <mergeCell ref="A1917:A1919"/>
    <mergeCell ref="A858:A860"/>
    <mergeCell ref="B1587:B1589"/>
    <mergeCell ref="C81:C83"/>
    <mergeCell ref="B555:B557"/>
    <mergeCell ref="B984:B986"/>
    <mergeCell ref="C2280:C2282"/>
    <mergeCell ref="C1563:C1565"/>
    <mergeCell ref="A2247:A2249"/>
    <mergeCell ref="A1188:A1190"/>
    <mergeCell ref="B1458:B1460"/>
    <mergeCell ref="B1887:B1889"/>
    <mergeCell ref="B855:B857"/>
    <mergeCell ref="B2223:B2225"/>
    <mergeCell ref="B1284:B1286"/>
    <mergeCell ref="B252:B254"/>
    <mergeCell ref="A462:A464"/>
    <mergeCell ref="A1515:A1517"/>
    <mergeCell ref="B2256:B2258"/>
    <mergeCell ref="A1950:A1952"/>
    <mergeCell ref="A1944:A1946"/>
    <mergeCell ref="B1155:B1157"/>
    <mergeCell ref="C1245:C1247"/>
    <mergeCell ref="B1584:B1586"/>
    <mergeCell ref="C1281:C1283"/>
    <mergeCell ref="B552:B554"/>
    <mergeCell ref="A1821:A1823"/>
    <mergeCell ref="A762:A764"/>
    <mergeCell ref="C63:C65"/>
    <mergeCell ref="C678:C680"/>
    <mergeCell ref="A1218:A1220"/>
    <mergeCell ref="A1212:A1214"/>
    <mergeCell ref="B1938:B1940"/>
    <mergeCell ref="A2277:A2279"/>
    <mergeCell ref="C2010:C2012"/>
    <mergeCell ref="B120:B122"/>
    <mergeCell ref="C978:C980"/>
    <mergeCell ref="A1518:A1520"/>
    <mergeCell ref="C546:C548"/>
    <mergeCell ref="B234:B236"/>
    <mergeCell ref="B2238:B2240"/>
    <mergeCell ref="A813:A815"/>
    <mergeCell ref="A1359:A1361"/>
    <mergeCell ref="A2301:A2303"/>
    <mergeCell ref="B1512:B1514"/>
    <mergeCell ref="B453:B455"/>
    <mergeCell ref="C660:C662"/>
    <mergeCell ref="A2172:A2174"/>
    <mergeCell ref="A1113:A1115"/>
    <mergeCell ref="C2061:C2063"/>
    <mergeCell ref="B753:B755"/>
    <mergeCell ref="A1569:A1571"/>
    <mergeCell ref="C1938:C1940"/>
    <mergeCell ref="C879:C881"/>
    <mergeCell ref="C1932:C1934"/>
    <mergeCell ref="A387:A389"/>
    <mergeCell ref="A1413:A1415"/>
    <mergeCell ref="A816:A818"/>
    <mergeCell ref="A501:A503"/>
    <mergeCell ref="C750:C752"/>
    <mergeCell ref="A201:A203"/>
    <mergeCell ref="C1179:C1181"/>
    <mergeCell ref="B1995:B1997"/>
    <mergeCell ref="B1653:B1655"/>
    <mergeCell ref="C147:C149"/>
    <mergeCell ref="B2109:B2111"/>
    <mergeCell ref="B807:B809"/>
    <mergeCell ref="A1716:A1718"/>
    <mergeCell ref="B927:B929"/>
    <mergeCell ref="B1953:B1955"/>
    <mergeCell ref="B1980:B1982"/>
    <mergeCell ref="B921:B923"/>
    <mergeCell ref="B2295:B2297"/>
    <mergeCell ref="A105:A107"/>
    <mergeCell ref="A99:A101"/>
    <mergeCell ref="A1587:A1589"/>
    <mergeCell ref="A528:A530"/>
    <mergeCell ref="A2016:A2018"/>
    <mergeCell ref="B1227:B1229"/>
    <mergeCell ref="B168:B170"/>
    <mergeCell ref="A984:A986"/>
    <mergeCell ref="B2280:B2282"/>
    <mergeCell ref="A405:A407"/>
    <mergeCell ref="C1347:C1349"/>
    <mergeCell ref="A1887:A1889"/>
    <mergeCell ref="A828:A830"/>
    <mergeCell ref="C1776:C1778"/>
    <mergeCell ref="A2316:A2318"/>
    <mergeCell ref="A231:A233"/>
    <mergeCell ref="A1284:A1286"/>
    <mergeCell ref="C165:C167"/>
    <mergeCell ref="C585:C587"/>
    <mergeCell ref="A102:A104"/>
    <mergeCell ref="C498:C500"/>
    <mergeCell ref="C1557:C1559"/>
    <mergeCell ref="B192:B194"/>
    <mergeCell ref="C1050:C1052"/>
    <mergeCell ref="C2109:C2111"/>
    <mergeCell ref="C2103:C2105"/>
    <mergeCell ref="C1986:C1988"/>
    <mergeCell ref="A1584:A1586"/>
    <mergeCell ref="B1710:B1712"/>
    <mergeCell ref="B63:B65"/>
    <mergeCell ref="B492:B494"/>
    <mergeCell ref="C1350:C1352"/>
    <mergeCell ref="B528:B530"/>
    <mergeCell ref="B2010:B2012"/>
    <mergeCell ref="B1578:B1580"/>
    <mergeCell ref="C1704:C1706"/>
    <mergeCell ref="A1302:A1304"/>
    <mergeCell ref="A2238:A2240"/>
    <mergeCell ref="A120:A122"/>
    <mergeCell ref="C2004:C2006"/>
    <mergeCell ref="C972:C974"/>
    <mergeCell ref="A1512:A1514"/>
    <mergeCell ref="A453:A455"/>
    <mergeCell ref="C1401:C1403"/>
    <mergeCell ref="A1941:A1943"/>
    <mergeCell ref="B579:B581"/>
    <mergeCell ref="C2304:C2306"/>
    <mergeCell ref="C219:C221"/>
    <mergeCell ref="C1272:C1274"/>
    <mergeCell ref="C1701:C1703"/>
    <mergeCell ref="C669:C671"/>
    <mergeCell ref="B879:B881"/>
    <mergeCell ref="B1308:B1310"/>
    <mergeCell ref="B993:B995"/>
    <mergeCell ref="C1572:C1574"/>
    <mergeCell ref="C2001:C2003"/>
    <mergeCell ref="A600:A602"/>
    <mergeCell ref="B1179:B1181"/>
    <mergeCell ref="A873:A875"/>
    <mergeCell ref="B1635:B1637"/>
    <mergeCell ref="C990:C992"/>
    <mergeCell ref="A1959:A1961"/>
    <mergeCell ref="A900:A902"/>
    <mergeCell ref="A927:A929"/>
    <mergeCell ref="A1953:A1955"/>
    <mergeCell ref="A1356:A1358"/>
    <mergeCell ref="B1935:B1937"/>
    <mergeCell ref="C1290:C1292"/>
    <mergeCell ref="C1719:C1721"/>
    <mergeCell ref="C687:C689"/>
    <mergeCell ref="A1227:A1229"/>
    <mergeCell ref="A168:A170"/>
    <mergeCell ref="C2175:C2177"/>
    <mergeCell ref="A1656:A1658"/>
    <mergeCell ref="B294:B296"/>
    <mergeCell ref="A624:A626"/>
    <mergeCell ref="C987:C989"/>
    <mergeCell ref="C1929:C1931"/>
    <mergeCell ref="A1527:A1529"/>
    <mergeCell ref="A1956:A1958"/>
    <mergeCell ref="B594:B596"/>
    <mergeCell ref="B2082:B2084"/>
    <mergeCell ref="B1050:B1052"/>
    <mergeCell ref="A657:A659"/>
    <mergeCell ref="B1320:B1322"/>
    <mergeCell ref="A2310:A2312"/>
    <mergeCell ref="B1350:B1352"/>
    <mergeCell ref="A1560:A1562"/>
    <mergeCell ref="C2076:C2078"/>
    <mergeCell ref="A957:A959"/>
    <mergeCell ref="C2070:C2072"/>
    <mergeCell ref="C258:C260"/>
    <mergeCell ref="A2007:A2009"/>
    <mergeCell ref="C1344:C1346"/>
    <mergeCell ref="C285:C287"/>
    <mergeCell ref="A825:A827"/>
    <mergeCell ref="C558:C560"/>
    <mergeCell ref="B1032:B1034"/>
    <mergeCell ref="B951:B953"/>
    <mergeCell ref="B2004:B2006"/>
    <mergeCell ref="A639:A641"/>
    <mergeCell ref="C1644:C1646"/>
    <mergeCell ref="C1041:C1043"/>
    <mergeCell ref="B1251:B1253"/>
    <mergeCell ref="A1725:A1727"/>
    <mergeCell ref="B2304:B2306"/>
    <mergeCell ref="B219:B221"/>
    <mergeCell ref="C1458:C1460"/>
    <mergeCell ref="B1701:B1703"/>
    <mergeCell ref="B606:B608"/>
    <mergeCell ref="A2025:A2027"/>
    <mergeCell ref="A1308:A1310"/>
    <mergeCell ref="B519:B521"/>
    <mergeCell ref="A213:A215"/>
    <mergeCell ref="B2007:B2009"/>
    <mergeCell ref="A1422:A1424"/>
    <mergeCell ref="C645:C647"/>
    <mergeCell ref="B333:B335"/>
    <mergeCell ref="C1074:C1076"/>
    <mergeCell ref="C2127:C2129"/>
    <mergeCell ref="A1299:A1301"/>
    <mergeCell ref="A240:A242"/>
    <mergeCell ref="C1032:C1034"/>
    <mergeCell ref="A1293:A1295"/>
    <mergeCell ref="A2325:A2327"/>
    <mergeCell ref="C945:C947"/>
    <mergeCell ref="B1848:B1850"/>
    <mergeCell ref="B201:B203"/>
    <mergeCell ref="A540:A542"/>
    <mergeCell ref="A882:A884"/>
    <mergeCell ref="B237:B239"/>
    <mergeCell ref="B1725:B1727"/>
    <mergeCell ref="B1719:B1721"/>
    <mergeCell ref="B2148:B2150"/>
    <mergeCell ref="B537:B539"/>
    <mergeCell ref="C627:C629"/>
    <mergeCell ref="B966:B968"/>
    <mergeCell ref="A1782:A1784"/>
    <mergeCell ref="A564:A566"/>
    <mergeCell ref="B1422:B1424"/>
    <mergeCell ref="C1512:C1514"/>
    <mergeCell ref="A1029:A1031"/>
    <mergeCell ref="A2082:A2084"/>
    <mergeCell ref="C330:C332"/>
    <mergeCell ref="C324:C326"/>
    <mergeCell ref="A864:A866"/>
    <mergeCell ref="C1812:C1814"/>
    <mergeCell ref="C1683:C1685"/>
    <mergeCell ref="B2076:B2078"/>
    <mergeCell ref="C27:C29"/>
    <mergeCell ref="C2112:C2114"/>
    <mergeCell ref="B258:B260"/>
    <mergeCell ref="B1317:B1319"/>
    <mergeCell ref="B1344:B1346"/>
    <mergeCell ref="B558:B560"/>
    <mergeCell ref="A951:A953"/>
    <mergeCell ref="A1497:A1499"/>
    <mergeCell ref="B591:B593"/>
    <mergeCell ref="B1617:B1619"/>
    <mergeCell ref="C798:C800"/>
    <mergeCell ref="A279:A281"/>
    <mergeCell ref="B2073:B2075"/>
    <mergeCell ref="C1743:C1745"/>
    <mergeCell ref="A1251:A1253"/>
    <mergeCell ref="C2199:C2201"/>
    <mergeCell ref="A1797:A1799"/>
    <mergeCell ref="A1680:A1682"/>
    <mergeCell ref="C45:C47"/>
    <mergeCell ref="C1098:C1100"/>
    <mergeCell ref="C1017:C1019"/>
    <mergeCell ref="C2043:C2045"/>
    <mergeCell ref="B1491:B1493"/>
    <mergeCell ref="B705:B707"/>
    <mergeCell ref="A1551:A1553"/>
    <mergeCell ref="C1446:C1448"/>
    <mergeCell ref="B1791:B1793"/>
    <mergeCell ref="B732:B734"/>
    <mergeCell ref="B1074:B1076"/>
    <mergeCell ref="A366:A368"/>
    <mergeCell ref="B2091:B2093"/>
    <mergeCell ref="B6:B8"/>
    <mergeCell ref="A630:A632"/>
    <mergeCell ref="A666:A668"/>
    <mergeCell ref="A2154:A2156"/>
    <mergeCell ref="A1095:A1097"/>
    <mergeCell ref="B306:B308"/>
    <mergeCell ref="A1998:A2000"/>
    <mergeCell ref="A966:A968"/>
    <mergeCell ref="B1056:B1058"/>
    <mergeCell ref="C1914:C1916"/>
    <mergeCell ref="C267:C269"/>
    <mergeCell ref="C723:C725"/>
    <mergeCell ref="C1152:C1154"/>
    <mergeCell ref="C636:C638"/>
    <mergeCell ref="B330:B332"/>
    <mergeCell ref="C2214:C2216"/>
    <mergeCell ref="B759:B761"/>
    <mergeCell ref="B630:B632"/>
    <mergeCell ref="B1059:B1061"/>
    <mergeCell ref="B27:B29"/>
    <mergeCell ref="B1716:B1718"/>
    <mergeCell ref="A351:A353"/>
    <mergeCell ref="A345:A347"/>
    <mergeCell ref="A1317:A1319"/>
    <mergeCell ref="B2016:B2018"/>
    <mergeCell ref="C2142:C2144"/>
    <mergeCell ref="C1083:C1085"/>
    <mergeCell ref="A1623:A1625"/>
    <mergeCell ref="C51:C53"/>
    <mergeCell ref="A591:A593"/>
    <mergeCell ref="A1617:A1619"/>
    <mergeCell ref="C1470:C1472"/>
    <mergeCell ref="B1743:B1745"/>
    <mergeCell ref="C1383:C1385"/>
    <mergeCell ref="B1077:B1079"/>
    <mergeCell ref="B45:B47"/>
    <mergeCell ref="C1839:C1841"/>
    <mergeCell ref="B2043:B2045"/>
    <mergeCell ref="A705:A707"/>
    <mergeCell ref="B2163:B2165"/>
    <mergeCell ref="B1446:B1448"/>
    <mergeCell ref="B345:B347"/>
    <mergeCell ref="C2139:C2141"/>
    <mergeCell ref="A1764:A1766"/>
    <mergeCell ref="A1791:A1793"/>
    <mergeCell ref="A2220:A2222"/>
    <mergeCell ref="A2097:A2099"/>
    <mergeCell ref="A1038:A1040"/>
    <mergeCell ref="A2091:A2093"/>
    <mergeCell ref="A6:A8"/>
    <mergeCell ref="A1488:A1490"/>
    <mergeCell ref="C1821:C1823"/>
    <mergeCell ref="C1857:C1859"/>
    <mergeCell ref="A306:A308"/>
    <mergeCell ref="C2286:C2288"/>
    <mergeCell ref="B396:B398"/>
    <mergeCell ref="A1794:A1796"/>
    <mergeCell ref="B1884:B1886"/>
    <mergeCell ref="C36:C38"/>
    <mergeCell ref="C2157:C2159"/>
    <mergeCell ref="B1914:B1916"/>
    <mergeCell ref="B267:B269"/>
    <mergeCell ref="B702:B704"/>
    <mergeCell ref="B696:B698"/>
    <mergeCell ref="B2184:B2186"/>
    <mergeCell ref="C822:C824"/>
    <mergeCell ref="B2220:B2222"/>
    <mergeCell ref="B2214:B2216"/>
    <mergeCell ref="A759:A761"/>
    <mergeCell ref="C69:C71"/>
    <mergeCell ref="B399:B401"/>
    <mergeCell ref="C96:C98"/>
    <mergeCell ref="C1122:C1124"/>
    <mergeCell ref="A603:A605"/>
    <mergeCell ref="A288:A290"/>
    <mergeCell ref="C519:C521"/>
    <mergeCell ref="A1059:A1061"/>
    <mergeCell ref="B414:B416"/>
    <mergeCell ref="C2208:C2210"/>
    <mergeCell ref="C396:C398"/>
    <mergeCell ref="C390:C392"/>
    <mergeCell ref="B1299:B1301"/>
    <mergeCell ref="B1815:B1817"/>
    <mergeCell ref="B117:B119"/>
    <mergeCell ref="B111:B113"/>
    <mergeCell ref="C1905:C1907"/>
    <mergeCell ref="B2115:B2117"/>
    <mergeCell ref="B1599:B1601"/>
    <mergeCell ref="B1083:B1085"/>
    <mergeCell ref="A777:A779"/>
    <mergeCell ref="B1470:B1472"/>
    <mergeCell ref="B1899:B1901"/>
    <mergeCell ref="C537:C539"/>
    <mergeCell ref="B1383:B1385"/>
    <mergeCell ref="A1077:A1079"/>
    <mergeCell ref="A18:A20"/>
    <mergeCell ref="A2163:A2165"/>
    <mergeCell ref="A1104:A1106"/>
    <mergeCell ref="A1446:A1448"/>
    <mergeCell ref="C1809:C1811"/>
    <mergeCell ref="A1404:A1406"/>
    <mergeCell ref="C111:C113"/>
    <mergeCell ref="C1476:C1478"/>
    <mergeCell ref="B1986:B1988"/>
    <mergeCell ref="B768:B770"/>
    <mergeCell ref="B1830:B1832"/>
    <mergeCell ref="C894:C896"/>
    <mergeCell ref="A492:A494"/>
    <mergeCell ref="A1428:A1430"/>
    <mergeCell ref="B2286:B2288"/>
    <mergeCell ref="B639:B641"/>
    <mergeCell ref="B1068:B1070"/>
    <mergeCell ref="A1884:A1886"/>
    <mergeCell ref="A861:A863"/>
    <mergeCell ref="C1194:C1196"/>
    <mergeCell ref="C2247:C2249"/>
    <mergeCell ref="C162:C164"/>
    <mergeCell ref="A702:A704"/>
    <mergeCell ref="A1728:A1730"/>
    <mergeCell ref="C591:C593"/>
    <mergeCell ref="A1131:A1133"/>
    <mergeCell ref="C1065:C1067"/>
    <mergeCell ref="C1494:C1496"/>
    <mergeCell ref="C462:C464"/>
    <mergeCell ref="A1002:A1004"/>
    <mergeCell ref="C1950:C1952"/>
    <mergeCell ref="C891:C893"/>
    <mergeCell ref="C1944:C1946"/>
    <mergeCell ref="B2268:B2270"/>
    <mergeCell ref="B183:B185"/>
    <mergeCell ref="B1551:B1553"/>
    <mergeCell ref="C762:C764"/>
    <mergeCell ref="C1191:C1193"/>
    <mergeCell ref="B369:B371"/>
    <mergeCell ref="B54:B56"/>
    <mergeCell ref="C1848:C1850"/>
    <mergeCell ref="B483:B485"/>
    <mergeCell ref="C2277:C2279"/>
    <mergeCell ref="A2244:A2246"/>
    <mergeCell ref="B1455:B1457"/>
    <mergeCell ref="A1149:A1151"/>
    <mergeCell ref="A1143:A1145"/>
    <mergeCell ref="A117:A119"/>
    <mergeCell ref="C2091:C2093"/>
    <mergeCell ref="C6:C8"/>
    <mergeCell ref="A546:A548"/>
    <mergeCell ref="A1062:A1064"/>
    <mergeCell ref="B783:B785"/>
    <mergeCell ref="A2115:A2117"/>
    <mergeCell ref="C480:C482"/>
    <mergeCell ref="C909:C911"/>
    <mergeCell ref="B1755:B1757"/>
    <mergeCell ref="A417:A419"/>
    <mergeCell ref="B2211:B2213"/>
    <mergeCell ref="C306:C308"/>
    <mergeCell ref="A846:A848"/>
    <mergeCell ref="C2301:C2303"/>
    <mergeCell ref="C177:C179"/>
    <mergeCell ref="A717:A719"/>
    <mergeCell ref="C2181:C2183"/>
    <mergeCell ref="B843:B845"/>
    <mergeCell ref="B1929:B1931"/>
    <mergeCell ref="B870:B872"/>
    <mergeCell ref="B1143:B1145"/>
    <mergeCell ref="C1863:C1865"/>
    <mergeCell ref="A318:A320"/>
    <mergeCell ref="C831:C833"/>
    <mergeCell ref="B2229:B2231"/>
    <mergeCell ref="B1170:B1172"/>
    <mergeCell ref="A768:A770"/>
    <mergeCell ref="C1716:C1718"/>
    <mergeCell ref="A1830:A1832"/>
    <mergeCell ref="C78:C80"/>
    <mergeCell ref="C534:C536"/>
    <mergeCell ref="C1587:C1589"/>
    <mergeCell ref="A15:A17"/>
    <mergeCell ref="C2016:C2018"/>
    <mergeCell ref="B141:B143"/>
    <mergeCell ref="C378:C380"/>
    <mergeCell ref="B135:B137"/>
    <mergeCell ref="B1194:B1196"/>
    <mergeCell ref="C2052:C2054"/>
    <mergeCell ref="B1623:B1625"/>
    <mergeCell ref="C834:C836"/>
    <mergeCell ref="C828:C830"/>
    <mergeCell ref="B12:B14"/>
    <mergeCell ref="C2316:C2318"/>
    <mergeCell ref="C231:C233"/>
    <mergeCell ref="B441:B443"/>
    <mergeCell ref="A915:A917"/>
    <mergeCell ref="B1494:B1496"/>
    <mergeCell ref="B435:B437"/>
    <mergeCell ref="B1923:B1925"/>
    <mergeCell ref="B891:B893"/>
    <mergeCell ref="A1215:A1217"/>
    <mergeCell ref="A498:A500"/>
    <mergeCell ref="A183:A185"/>
    <mergeCell ref="A2187:A2189"/>
    <mergeCell ref="A1671:A1673"/>
    <mergeCell ref="B1191:B1193"/>
    <mergeCell ref="C2034:C2036"/>
    <mergeCell ref="A489:A491"/>
    <mergeCell ref="A483:A485"/>
    <mergeCell ref="C1947:C1949"/>
    <mergeCell ref="A1971:A1973"/>
    <mergeCell ref="C852:C854"/>
    <mergeCell ref="C135:C137"/>
    <mergeCell ref="B609:B611"/>
    <mergeCell ref="A1455:A1457"/>
    <mergeCell ref="B1038:B1040"/>
    <mergeCell ref="C249:C251"/>
    <mergeCell ref="C1185:C1187"/>
    <mergeCell ref="A1842:A1844"/>
    <mergeCell ref="A783:A785"/>
    <mergeCell ref="C1221:C1223"/>
    <mergeCell ref="A2271:A2273"/>
    <mergeCell ref="A186:A188"/>
    <mergeCell ref="C435:C437"/>
    <mergeCell ref="B909:B911"/>
    <mergeCell ref="A1755:A1757"/>
    <mergeCell ref="B1338:B1340"/>
    <mergeCell ref="C549:C551"/>
    <mergeCell ref="C1521:C1523"/>
    <mergeCell ref="B156:B158"/>
    <mergeCell ref="B1638:B1640"/>
    <mergeCell ref="A1875:A1877"/>
    <mergeCell ref="B1242:B1244"/>
    <mergeCell ref="A54:A56"/>
    <mergeCell ref="A1902:A1904"/>
    <mergeCell ref="A870:A872"/>
    <mergeCell ref="C600:C602"/>
    <mergeCell ref="A1140:A1142"/>
    <mergeCell ref="B1863:B1865"/>
    <mergeCell ref="A1176:A1178"/>
    <mergeCell ref="A2202:A2204"/>
    <mergeCell ref="A1170:A1172"/>
    <mergeCell ref="C471:C473"/>
    <mergeCell ref="C1959:C1961"/>
    <mergeCell ref="C900:C902"/>
    <mergeCell ref="B78:B80"/>
    <mergeCell ref="B1566:B1568"/>
    <mergeCell ref="B534:B536"/>
    <mergeCell ref="B1560:B1562"/>
    <mergeCell ref="C2259:C2261"/>
    <mergeCell ref="C174:C176"/>
    <mergeCell ref="C1200:C1202"/>
    <mergeCell ref="A1167:A1169"/>
    <mergeCell ref="B1437:B1439"/>
    <mergeCell ref="B378:B380"/>
    <mergeCell ref="B1866:B1868"/>
    <mergeCell ref="B834:B836"/>
    <mergeCell ref="B2322:B2324"/>
    <mergeCell ref="B1263:B1265"/>
    <mergeCell ref="C618:C620"/>
    <mergeCell ref="C960:C962"/>
    <mergeCell ref="A441:A443"/>
    <mergeCell ref="C1389:C1391"/>
    <mergeCell ref="A1929:A1931"/>
    <mergeCell ref="A555:A557"/>
    <mergeCell ref="A1923:A1925"/>
    <mergeCell ref="C2292:C2294"/>
    <mergeCell ref="C1233:C1235"/>
    <mergeCell ref="B1563:B1565"/>
    <mergeCell ref="C1260:C1262"/>
    <mergeCell ref="C918:C920"/>
    <mergeCell ref="A741:A743"/>
    <mergeCell ref="A426:A428"/>
    <mergeCell ref="C321:C323"/>
    <mergeCell ref="A855:A857"/>
    <mergeCell ref="A2223:A2225"/>
    <mergeCell ref="B981:B983"/>
    <mergeCell ref="B2034:B2036"/>
    <mergeCell ref="C1560:C1562"/>
    <mergeCell ref="A2256:A2258"/>
    <mergeCell ref="C1989:C1991"/>
    <mergeCell ref="A1641:A1643"/>
    <mergeCell ref="B852:B854"/>
    <mergeCell ref="B1281:B1283"/>
    <mergeCell ref="B249:B251"/>
    <mergeCell ref="B2217:B2219"/>
    <mergeCell ref="B2253:B2255"/>
    <mergeCell ref="B678:B680"/>
    <mergeCell ref="A285:A287"/>
    <mergeCell ref="A1338:A1340"/>
    <mergeCell ref="B549:B551"/>
    <mergeCell ref="C639:C641"/>
    <mergeCell ref="B978:B980"/>
    <mergeCell ref="C675:C677"/>
    <mergeCell ref="A156:A158"/>
    <mergeCell ref="B246:B248"/>
    <mergeCell ref="C2040:C2042"/>
    <mergeCell ref="A1638:A1640"/>
    <mergeCell ref="A1242:A1244"/>
    <mergeCell ref="C975:C977"/>
    <mergeCell ref="C2025:C2027"/>
    <mergeCell ref="A1542:A1544"/>
    <mergeCell ref="B1632:B1634"/>
    <mergeCell ref="C126:C128"/>
    <mergeCell ref="C1614:C1616"/>
    <mergeCell ref="B1503:B1505"/>
    <mergeCell ref="B906:B908"/>
    <mergeCell ref="B1932:B1934"/>
    <mergeCell ref="A1110:A1112"/>
    <mergeCell ref="B1968:B1970"/>
    <mergeCell ref="A78:A80"/>
    <mergeCell ref="C2058:C2060"/>
    <mergeCell ref="A1566:A1568"/>
    <mergeCell ref="A507:A509"/>
    <mergeCell ref="A1995:A1997"/>
    <mergeCell ref="B1206:B1208"/>
    <mergeCell ref="B147:B149"/>
    <mergeCell ref="A384:A386"/>
    <mergeCell ref="A378:A380"/>
    <mergeCell ref="C1332:C1334"/>
    <mergeCell ref="C273:C275"/>
    <mergeCell ref="C1326:C1328"/>
    <mergeCell ref="A1866:A1868"/>
    <mergeCell ref="A807:A809"/>
    <mergeCell ref="C1761:C1763"/>
  </mergeCells>
  <conditionalFormatting sqref="A3:J2330">
    <cfRule type="expression" priority="1" dxfId="0">
      <formula>$A3</formula>
    </cfRule>
    <cfRule type="expression" priority="2" dxfId="0">
      <formula>$A2</formula>
    </cfRule>
    <cfRule type="expression" priority="3" dxfId="0">
      <formula>$A1</formula>
    </cfRule>
  </conditionalFormatting>
  <dataValidations count="13">
    <dataValidation sqref="E149 E152 E158" showDropDown="0" showInputMessage="0" showErrorMessage="1" allowBlank="1" type="list">
      <formula1>"Rainbow Spin,Homing Cap,Roll,Roll Boost,Crouch,Ground Pound,Dive,Wall Jump,Ledge Grab,Damage Boost,Climb,Scooter,Jaxi,Capture,None,Other Kingdom Trigger"</formula1>
    </dataValidation>
    <dataValidation sqref="E3:I3 E6:I6 E9:I9 E12:I12 E15:I15 E18:I18 E21:I21 E24:I24 E27:I27 E30:I30 E33:I33 E36:I36 E39:I39 E42:I42 E45:I45 E48:I48 E51:I51 E54:I54 E57:I57 E60:I60 E63:I63 E66:I66 E69:I69 E72:I72 E75:I75 E78:I78 E81:I81 E84:I84 E87:I87 E90:I90 E93:I93 E96:I96 E99:I99 E102:I102 E105:I105 E108:I108 E111:I111 E114:I114 E117:I117 E120:I120 E123:I123 E126:I126 E129:I129 E132:I132 E135:I135 E138:I138 E141:I141 E144:I144 E147:I147 E150:I150 E153:I153 E156:I156 E159:I159 E162:I162 E165:I165 E168:I168 E171:I171 E174:I174 E177:I177 E180:I180 E183:I183 E186:I186 E189:I189 E192:I192 E195:I195 E198:I198 E201:I201 E204:I204 E207:I207 E210:I210 E213:I213 E216:I216 E219:I219 E222:I222 E225:I225 E228:I228 E231:I231 E234:I234 E237:I237 E240:I240 E243:I243 E246:I246 E249:I249 E252:I252 E255:I255 E258:I258 E261:I261 E264:I264 E267:I267 E270:I270 E273:I273 E276:I276 E279:I279 E282:I282 E285:I285 E288:I288 E291:I291 E294:I294 E297:I297 E300:I300 E303:I303 E306:I306 E309:I309 E312:I312 E315:I315 E318:I318 E321:I321 E324:I324 E327:I327 E330:I330 E333:I333 E336:I336 E339:I339 E342:I342 E345:I345 E348:I348 E351:I351 E354:I354 E357:I357 E360:I360 E363:I363 E366:I366 E369:I369 E372:I372 E375:I375 E378:I378 E381:I381 E384:I384 E387:I387 E390:I390 E393:I393 E396:I396 E399:I399 E402:I402 E405:I405 E408:I408 E411:I411 E414:I414 E417:I417 E420:I420 E423:I423 E426:I426 E429:I429 E432:I432 E435:I435 E438:I438 E441:I441 E444:I444 E447:I447 E450:I450 E453:I453 E456:I456 E459:I459 E462:I462 E465:I465 E468:I468 E471:I471 E474:I474 E477:I477 E480:I480 E483:I483 E486:I486 E489:I489 E492:I492 E495:I495 E498:I498 E501:I501 E504:I504 E507:I507 E510:I510 E513:I513 E516:I516 E519:I519 E522:I522 E525:I525 E528:I528 E531:I531 E534:I534 E537:I537 E540:I540 E543:I543 E546:I546 E549:I549 E552:I552 E555:I555 E558:I558 E561:I561 E564:I564 E567:I567 E570:I570 E573:I573 E576:I576 E579:I579 E582:I582 E585:I585 E588:I588 E591:I591 E594:I594 E597:I597 E600:I600 E603:I603 E606:I606 E609:I609 E612:I612 E615:I615 E618:I618 E621:I621 E624:I624 E627:I627 E630:I630 E633:I633 E636:I636 E639:I639 E642:I642 E645:I645 E648:I648 E651:I651 E654:I654 E657:I657 E660:I660 E663:I663 E666:I666 E669:I669 E672:I672 E675:I675 E678:I678 E681:I681 E684:I684 E687:I687 E690:I690 E693:I693 E696:I696 E699:I699 E702:I702 E705:I705 E708:I708 E711:I711 E714:I714 E717:I717 E720:I720 E723:I723 E726:I726 E729:I729 E732:I732 E735:I735 E738:I738 E741:I741 E744:I744 E747:I747 E750:I750 E753:I753 E756:I756 E759:I759 E762:I762 E765:I765 E768:I768 E771:I771 E774:I774 E777:I777 E780:I780 E783:I783 E786:I786 E789:I789 E792:I792 E795:I795 E798:I798 E801:I801 E804:I804 E807:I807 E810:I810 E813:I813 E816:I816 E819:I819 E822:I822 E825:I825 E828:I828 E831:I831 E834:I834 E837:I837 E840:I840 E843:I843 E846:I846 E849:I849 E852:I852 E855:I855 E858:I858 E861:I861 E864:I864 E867:I867 E870:I870 E873:I873 E876:I876 E879:I879 E882:I882 E885:I885 E888:I888 E891:I891 E894:I894 E897:I897 E900:I900 E903:I903 E906:I906 E909:I909 E912:I912 E915:I915 E918:I918 E921:I921 E924:I924 E927:I927 E930:I930 E933:I933 E936:I936 E939:I939 E942:I942 E945:I945 E948:I948 E951:I951 E954:I954 E957:I957 E960:I960 E963:I963 E966:I966 E969:I969 E972:I972 E975:I975 E978:I978 E981:I981 E984:I984 E987:I987 E990:I990 E993:I993 E996:I996 E999:I999 E1002:I1002 E1005:I1005 E1008:I1008 E1011:I1011 E1014:I1014 E1017:I1017 E1020:I1020 E1023:I1023 E1026:I1026 E1029:I1029 E1032:I1032 E1035:I1035 E1038:I1038 E1041:I1041 E1044:I1044 E1047:I1047 E1050:I1050 E1053:I1053 E1056:I1056 E1059:I1059 E1062:I1062 E1065:I1065 E1068:I1068 E1071:I1071 E1074:I1074 E1077:I1077 E1080:I1080 E1083:I1083 E1086:I1086 E1089:I1089 E1092:I1092 E1095:I1095 E1098:I1098 E1101:I1101 E1104:I1104 E1107:I1107 E1110:I1110 E1113:I1113 E1116:I1116 E1119:I1119 E1122:I1122 E1125:I1125 E1128:I1128 E1131:I1131 E1134:I1134 E1137:I1137 E1140:I1140 E1143:I1143 E1146:I1146 E1149:I1149 E1152:I1152 E1155:I1155 E1158:I1158 E1161:I1161 E1164:I1164 E1167:I1167 E1170:I1170 E1173:I1173 E1176:I1176 E1179:I1179 E1182:I1182 E1185:I1185 E1188:I1188 E1191:I1191 E1194:I1194 E1197:I1197 E1200:I1200 E1203:I1203 E1206:I1206 E1209:I1209 E1212:I1212 E1215:I1215 E1218:I1218 E1221:I1221 E1224:I1224 E1227:I1227 E1230:I1230 E1233:I1233 E1236:I1236 E1239:I1239 E1242:I1242 E1245:I1245 E1248:I1248 E1251:I1251 E1254:I1254 E1257:I1257 E1260:I1260 E1263:I1263 E1266:I1266 E1269:I1269 E1272:I1272 E1275:I1275 E1278:I1278 E1281:I1281 E1284:I1284 E1287:I1287 E1290:I1290 E1293:I1293 E1296:I1296 E1299:I1299 E1302:I1302 E1305:I1305 E1308:I1308 E1311:I1311 E1314:I1314 E1317:I1317 E1320:I1320 E1323:I1323 E1326:I1326 E1329:I1329 E1332:I1332 E1335:I1335 E1338:I1338 E1341:I1341 E1344:I1344 E1347:I1347 E1350:I1350 E1353:I1353 E1356:I1356 E1359:I1359 E1362:I1362 E1365:I1365 E1368:I1368 E1371:I1371 E1374:I1374 E1377:I1377 E1380:I1380 E1383:I1383 E1386:I1386 E1389:I1389 E1392:I1392 E1395:I1395 E1398:I1398 E1401:I1401 E1404:I1404 E1407:I1407 E1410:I1410 E1413:I1413 E1416:I1416 E1419:I1419 E1422:I1422 E1425:I1425 E1428:I1428 E1431:I1431 E1434:I1434 E1437:I1437 E1440:I1440 E1443:I1443 E1446:I1446 E1449:I1449 E1452:I1452 E1455:I1455 E1458:I1458 E1461:I1461 E1464:I1464 E1467:I1467 E1470:I1470 E1473:I1473 E1476:I1476 E1479:I1479 E1482:I1482 E1485:I1485 E1488:I1488 E1491:I1491 E1494:I1494 E1497:I1497 E1500:I1500 E1503:I1503 E1506:I1506 E1509:I1509 E1512:I1512 E1515:I1515 E1518:I1518 E1521:I1521 E1524:I1524 E1527:I1527 E1530:I1530 E1533:I1533 E1536:I1536 E1539:I1539 E1542:I1542 E1545:I1545 E1548:I1548 E1551:I1551 E1554:I1554 E1557:I1557 E1560:I1560 E1563:I1563 E1566:I1566 E1569:I1569 E1572:I1572 E1575:I1575 E1578:I1578 E1581:I1581 E1584:I1584 E1587:I1587 E1590:I1590 E1593:I1593 E1596:I1596 E1599:I1599 E1602:I1602 E1605:I1605 E1608:I1608 E1611:I1611 E1614:I1614 E1617:I1617 E1620:I1620 E1623:I1623 E1626:I1626 E1629:I1629 E1632:I1632 E1635:I1635 E1638:I1638 E1641:I1641 E1644:I1644 E1647:I1647 E1650:I1650 E1653:I1653 E1656:I1656 E1659:I1659 E1662:I1662 E1665:I1665 E1668:I1668 E1671:I1671 E1674:I1674 E1677:I1677 E1680:I1680 E1683:I1683 E1686:I1686 E1689:I1689 E1692:I1692 E1695:I1695 E1698:I1698 E1701:I1701 E1704:I1704 E1707:I1707 E1710:I1710 E1713:I1713 E1716:I1716 E1719:I1719 E1722:I1722 E1725:I1725 E1728:I1728 E1731:I1731 E1734:I1734 E1737:I1737 E1740:I1740 E1743:I1743 E1746:I1746 E1749:I1749 E1752:I1752 E1755:I1755 E1758:I1758 E1761:I1761 E1764:I1764 E1767:I1767 E1770:I1770 E1773:I1773 E1776:I1776 E1779:I1779 E1782:I1782 E1785:I1785 E1788:I1788 E1791:I1791 E1794:I1794 E1797:I1797 E1800:I1800 E1803:I1803 E1806:I1806 E1809:I1809 E1812:I1812 E1815:I1815 E1818:I1818 E1821:I1821 E1824:I1824 E1827:I1827 E1830:I1830 E1833:I1833 E1836:I1836 E1839:I1839 E1842:I1842 E1845:I1845 E1848:I1848 E1851:I1851 E1854:I1854 E1857:I1857 E1860:I1860 E1863:I1863 E1866:I1866 E1869:I1869 E1872:I1872 E1875:I1875 E1878:I1878 E1881:I1881 E1884:I1884 E1887:I1887 E1890:I1890 E1893:I1893 E1896:I1896 E1899:I1899 E1902:I1902 E1905:I1905 E1908:I1908 E1911:I1911 E1914:I1914 E1917:I1917 E1920:I1920 E1923:I1923 E1926:I1926 E1929:I1929 E1932:I1932 E1935:I1935 E1938:I1938 E1941:I1941 E1944:I1944 E1947:I1947 E1950:I1950 E1953:I1953 E1956:I1956 E1959:I1959 E1962:I1962 E1965:I1965 E1968:I1968 E1971:I1971 E1974:I1974 E1977:I1977 E1980:I1980 E1983:I1983 E1986:I1986 E1989:I1989 E1992:I1992 E1995:I1995 E1998:I1998 E2001:I2001 E2004:I2004 E2007:I2007 E2010:I2010 E2013:I2013 E2016:I2016 E2019:I2019 E2022:I2022 E2025:I2025 E2028:I2028 E2031:I2031 E2034:I2034 E2037:I2037 E2040:I2040 E2043:I2043 E2046:I2046 E2049:I2049 E2052:I2052 E2055:I2055 E2058:I2058 E2061:I2061 E2064:I2064 E2067:I2067 E2070:I2070 E2073:I2073 E2076:I2076 E2079:I2079 E2082:I2082 E2085:I2085 E2088:I2088 E2091:I2091 E2094:I2094 E2097:I2097 E2100:I2100 E2103:I2103 E2106:I2106 E2109:I2109 E2112:I2112 E2115:I2115 E2118:I2118 E2121:I2121 E2124:I2124 E2127:I2127 E2130:I2130 E2133:I2133 E2136:I2136 E2139:I2139 E2142:I2142 E2145:I2145 E2148:I2148 E2151:I2151 E2154:I2154 E2157:I2157 E2160:I2160 E2163:I2163 E2166:I2166 E2169:I2169 E2172:I2172 E2175:I2175 E2178:I2178 E2181:I2181 E2184:I2184 E2187:I2187 E2190:I2190 E2193:I2193 E2196:I2196 E2199:I2199 E2202:I2202 E2205:I2205 E2208:I2208 E2211:I2211 E2214:I2214 E2217:I2217 E2220:I2220 E2223:I2223 E2226:I2226 E2229:I2229 E2232:I2232 E2235:I2235 E2238:I2238 E2241:I2241 E2244:I2244 E2247:I2247 E2250:I2250 E2253:I2253 E2256:I2256 E2259:I2259 E2262:I2262 E2265:I2265 E2268:I2268 E2271:I2271 E2274:I2274 E2277:I2277 E2280:I2280 E2283:I2283 E2286:I2286 E2289:I2289 E2292:I2292 E2295:I2295 E2298:I2298 E2301:I2301 E2304:I2304 E2307:I2307 E2310:I2310 E2313:I2313 E2316:I2316 E2319:I2319 E2322:I2322 E2325:I2325 E2328:I2328" showDropDown="0" showInputMessage="0" showErrorMessage="1" allowBlank="1" type="list">
      <formula1>"No Jump Needed,Long Jump,Single Jump (258),Double Jump (312),Cap Return Jump (400),Backflip/Vault/Side Flip (496),Ground Pound Jump (514),Triple Jump (550)"</formula1>
    </dataValidation>
    <dataValidation sqref="E2129" showDropDown="0" showInputMessage="0" showErrorMessage="1" allowBlank="1" type="list">
      <formula1>"No Jump Needed,Long Jump,Single Jump (258),Double Jump (312),Cap Return Jump (400),Backflip/Vault/Side Flip (496),Ground Pound Jump (514),Triple Jump (550),Scooter"</formula1>
    </dataValidation>
    <dataValidation sqref="E5:I5 E8:I8 E11:I11 E14:I14 E17:I17 E20:I20 E23:I23 E26:I26 E29:I29 E32:I32 E35:I35 E38:I38 E41:I41 E44:I44 E47:I47 E50:I50 E53:I53 E56:I56 E59:I59 E62:I62 E65:I65 E68:I68 E71:I71 E74:I74 E77:I77 E80:I80 E83:I83 E86:I86 E89:I89 E92:I92 E95:I95 E98:I98 E104 E110:I110 E113:I113 E116:I116 E119:I119 E122:I122 E125:I125 E128:I128 E131:I131 E134:I134 E137:I137 E140:I140 E143:I143 E146:I146 E155:I155 E161:I161 E164:I164 E167:I167 E170:I170 E173:I173 E176:I176 E179:I179 E182:I182 E185:I185 E188:I188 E191:I191 E194:I194 E197:I197 E200:I200 E203:I203 E206:I206 E209:I209 E212:I212 E215:I215 E221:I221 E224:I224 E227:I227 E230:I230 E233:I233 E236:I236 E239:I239 E242:I242 E245:I245 E248:I248 E251:I251 E254:I254 E257:I257 E260:I260 E263:I263 E266:I266 E269:I269 E272:I272 E275:I275 E278:I278 E281:I281 E284:I284 E290:I290 E293:I293 E296:I296 E299:I299 E302:I302 E305:I305 E308:I308 E311:I311 E314:I314 E317:I317 E320:I320 E323:I323 E326:I326 E329:I329 E332:I332 E335:I335 E338:I338 E341:I341 E344:I344 E347:I347 E350:I350 E353:I353 E356:I356 E359:I359 E362:I362 E365:I365 E368:I368 E371:I371 E374:I374 E377:I377 E380:I380 E383 E386 E389:I389 E392:I392 E395:I395 E398:I398 E401:I401 E404:I404 E407:I407 E410:I410 E413:I413 E416:I416 E419:I419 E422:I422 E425:I425 E428:I428 E431:I431 E434:I434 E437:I437 E440:I440 E443:I443 E446:I446 E449:I449 E452:I452 E455:I455 E458:I458 E461:I461 E464:I464 E467:I467 E470:I470 E473:I473 E476:I476 E479:I479 E482:I482 E485:I485 E488:I488 E491:I491 E494:I494 E497:I497 E500:I500 E503:I503 E506:I506 E509:I509 E512:I512 E515:I515 E518:I518 E521:I521 E524:I524 E527:I527 E530:I530 E533:I533 E536:I536 E539:I539 E542:I542 E545:I545 E548:I548 E551:I551 E554:I554 E557:I557 E560:I560 E563:I563 E566:I566 E569:I569 E572:I572 E575:I575 E578:I578 E581:I581 E584:I584 E587:I587 E590:I590 E593:I593 E596:I596 E599:I599 E602:I602 E605:I605 E608:I608 E611:I611 E614:I614 E617:I617 E620:I620 E623:I623 E626:I626 E629:I629 E632:I632 E635:I635 E638:I638 E641:I641 E644:I644 E647:I647 E650:I650 E653:I653 E656:I656 E659:I659 E662:I662 E665:I665 E668:I668 E671:I671 E674:I674 E677:I677 E680:I680 E683:I683 E686:I686 E689:I689 E692:I692 E695:I695 E698:I698 E701:I701 E704:I704 E707:I707 E710:I710 E713:I713 E716:I716 E719:I719 E722:I722 E725:I725 E728:I728 E731:I731 E734:I734 E737:I737 E740:I740 E743:I743 E746:I746 E749:I749 E752:I752 E755:I755 E758:I758 E761:I761 E764:I764 E767:I767 E770:I770 E773:I773 E776:I776 E779:I779 E782:I782 E785:I785 E788:I788 E791:I791 E794:I794 E797:I797 E800:I800 E803:I803 E806:I806 E809:I809 E812:I812 E815:I815 E818:I818 E821:I821 E824:I824 E827:I827 E830:I830 E833:I833 E836:I836 E839:I839 E842:I842 E845:I845 E848:I848 E851:I851 E854:I854 E857:I857 E860:I860 E863:I863 E866:I866 E869:I869 E872:I872 E875:I875 E878:I878 E881:I881 E884:I884 E887:I887 E890:I890 E893:I893 E896:I896 E899:I899 E902:I902 E905:I905 E908:I908 E911:I911 E914:I914 E917:I917 E920:I920 E923:I923 E926:I926 E929:I929 E932:I932 E935:I935 E938:I938 E941:I941 E944:I944 E947:I947 E950:I950 E953:I953 E956:I956 E959:I959 E962:I962 E965:I965 E968:I968 E971:I971 E974:I974 E977:I977 E980:I980 E983:I983 E986:I986 E989:I989 E992:I992 E995:I995 E998:I998 E1001:I1001 E1004:I1004 E1007:I1007 E1010:I1010 E1013:I1013 E1016:I1016 E1019:I1019 E1022:I1022 E1025:I1025 E1028:I1028 E1031:I1031 E1034:I1034 E1037:I1037 E1040:I1040 E1043:I1043 E1046:I1046 E1049:I1049 E1052:I1052 E1055:I1055 E1058:I1058 E1061:I1061 E1064:I1064 E1067:I1067 E1070:I1070 E1073:I1073 E1076:I1076 E1079:I1079 E1082:I1082 E1085:I1085 E1088:I1088 E1091:I1091 E1094:I1094 E1097:I1097 E1100:I1100 E1103:I1103 E1106:I1106 E1109:I1109 E1112:I1112 E1115:I1115 E1118:I1118 E1121:I1121 E1124:I1124 E1127:I1127 E1130:I1130 E1133:I1133 E1136:I1136 E1139:I1139 E1142:I1142 E1145:I1145 E1148:I1148 E1151:I1151 E1154:I1154 E1157:I1157 E1160:I1160 E1163:I1163 E1166:I1166 E1169:I1169 E1172:I1172 E1175:I1175 E1178:I1178 E1181:I1181 E1184:I1184 E1187:I1187 E1190:I1190 E1193:I1193 E1196:I1196 E1199:I1199 E1202:I1202 E1205:I1205 E1208:I1208 E1211:I1211 E1214:I1214 E1217:I1217 E1220:I1220 E1223:I1223 E1226:I1226 E1229:I1229 E1232:I1232 E1235:I1235 E1238:I1238 E1241:I1241 E1244:I1244 E1247:I1247 E1250:I1250 E1253:I1253 E1256:I1256 E1259:I1259 E1262:I1262 E1265:I1265 E1268:I1268 E1271:I1271 E1274:I1274 E1277:I1277 E1280:I1280 E1283:I1283 E1286:I1286 E1289:I1289 E1292:I1292 E1295:I1295 E1298:I1298 E1301:I1301 E1304:I1304 E1307:I1307 E1310:I1310 E1313:I1313 E1316:I1316 E1319:I1319 E1322:I1322 E1325:I1325 E1328:I1328 E1331:I1331 E1334:I1334 E1337:I1337 E1340:I1340 E1343:I1343 E1346:I1346 E1349:I1349 E1352:I1352 E1355:I1355 E1358:I1358 E1361:I1361 E1364:I1364 E1367:I1367 E1370:I1370 E1373:I1373 E1376:I1376 E1379:I1379 E1382:I1382 E1385:I1385 E1388:I1388 E1391:I1391 E1394:I1394 E1397:I1397 E1400:I1400 E1403:I1403 E1406:I1406 E1409:I1409 E1412:I1412 E1415:I1415 E1418:I1418 E1421:I1421 E1424:I1424 E1427:I1427 E1430:I1430 E1433:I1433 E1436:I1436 E1439:I1439 E1442:I1442 E1445:I1445 E1448:I1448 E1451:I1451 E1454:I1454 E1457:I1457 E1460:I1460 E1463:I1463 E1466:I1466 E1469:I1469 E1472:I1472 E1475:I1475 E1478:I1478 E1481:I1481 E1484:I1484 E1487:I1487 E1490:I1490 E1493:I1493 E1496:I1496 E1499:I1499 E1502:I1502 E1505:I1505 E1508:I1508 E1511:I1511 E1514:I1514 E1517:I1517 E1520:I1520 E1523:I1523 E1526:I1526 E1529:I1529 E1532:I1532 E1535:I1535 E1538:I1538 E1541:I1541 E1544:I1544 E1547:I1547 E1550:I1550 E1553:I1553 E1556:I1556 E1559:I1559 E1562:I1562 E1565:I1565 E1568:I1568 E1571:I1571 E1574:I1574 E1577:I1577 E1580:I1580 E1583:I1583 E1586:I1586 E1589:I1589 E1592:I1592 E1595:I1595 E1598:I1598 E1601:I1601 E1604:I1604 E1607:I1607 E1610:I1610 E1613:I1613 E1616:I1616 E1619:I1619 E1622:I1622 E1625:I1625 E1628:I1628 E1631:I1631 E1634:I1634 E1637:I1637 E1640:I1640 E1643:I1643 E1646:I1646 E1649:I1649 E1652:I1652 E1655:I1655 E1658:I1658 E1661:I1661 E1664:I1664 E1667:I1667 E1670:I1670 E1673:I1673 E1676:I1676 E1679:I1679 E1682:I1682 E1685:I1685 E1688:I1688 E1691:I1691 E1694:I1694 E1697:I1697 E1700:I1700 E1703:I1703 E1706:I1706 E1709:I1709 E1712:I1712 E1715:I1715 E1718:I1718 E1721:I1721 E1724:I1724 E1727:I1727 E1730:I1730 E1733:I1733 E1736:I1736 E1739:I1739 E1742:I1742 E1745:I1745 E1748:I1748 E1751:I1751 E1754:I1754 E1757:I1757 E1760:I1760 E1763:I1763 E1766:I1766 E1769:I1769 E1772:I1772 E1775:I1775 E1778:I1778 E1781:I1781 E1784:I1784 E1787:I1787 E1790:I1790 E1793:I1793 E1796:I1796 E1799:I1799 E1802:I1802 E1805:I1805 E1808:I1808 E1811:I1811 E1814:I1814 E1817:I1817 E1820:I1820 E1823:I1823 E1826:I1826 E1829:I1829 E1832:I1832 E1835:I1835 E1838:I1838 E1841:I1841 E1844:I1844 E1847:I1847 E1850:I1850 E1853:I1853 E1856:I1856 E1859:I1859 E1862:I1862 E1865:I1865 E1868:I1868 E1871:I1871 E1874:I1874 E1877:I1877 E1880:I1880 E1883:I1883 E1886:I1886 E1889:I1889 E1892:I1892 E1895:I1895 E1898:I1898 E1901:I1901 E1904:I1904 E1907:I1907 E1910:I1910 E1913:I1913 E1916:I1916 E1919:I1919 E1922:I1922 E1925:I1925 E1928:I1928 E1931:I1931 E1934:I1934 E1937:I1937 E1940:I1940 E1943:I1943 E1946:I1946 E1949:I1949 E1952:I1952 E1955:I1955 E1958:I1958 E1961:I1961 E1964:I1964 E1967:I1967 E1970:I1970 E1973:I1973 E1976:I1976 E1979:I1979 E1982:I1982 E1985:I1985 E1988:I1988 E1991:I1991 E1994:I1994 E1997:I1997 E2000:I2000 E2003:I2003 E2006:I2006 E2009:I2009 E2012:I2012 E2015:I2015 E2018:I2018 E2021:I2021 E2024:I2024 E2027:I2027 E2030:I2030 E2033:I2033 E2036:I2036 E2039:I2039 E2042:I2042 E2045:I2045 E2048:I2048 E2051:I2051 E2054:I2054 E2057:I2057 E2060:I2060 E2063:I2063 E2066:I2066 E2069:I2069 E2072:I2072 E2075:I2075 E2078:I2078 E2081:I2081 E2084:I2084 E2087:I2087 E2090:I2090 E2093:I2093 E2096:I2096 E2099:I2099 E2102:I2102 E2105:I2105 E2108:I2108 E2111:I2111 E2114:I2114 E2117:I2117 E2120:I2120 E2123:I2123 E2126:I2126 E2132:I2132 E2135:I2135 E2138:I2138 E2141:I2141 E2144:I2144 E2147:I2147 E2150:I2150 E2153:I2153 E2156:I2156 E2159:I2159 E2162:I2162 E2165:I2165 E2168:I2168 E2171:I2171 E2174:I2174 E2177:I2177 E2180:I2180 E2183:I2183 E2186:I2186 E2189:I2189 E2192:I2192 E2195:I2195 E2198:I2198 E2201:I2201 E2204:I2204 E2207:I2207 E2210:I2210 E2213:I2213 E2216:I2216 E2219:I2219 E2222:I2222 E2225:I2225 E2228:I2228 E2231:I2231 E2234:I2234 E2237:I2237 E2240:I2240 E2243:I2243 E2246:I2246 E2249:I2249 E2252:I2252 E2255:I2255 E2258:I2258 E2261:I2261 E2264:I2264 E2267:I2267 E2270:I2270 E2273:I2273 E2276:I2276 E2279:I2279 E2282:I2282 E2285:I2285 E2288:I2288 E2291:I2291 E2294:I2294 E2297:I2297 E2300:I2300 E2303:I2303 E2306:I2306 E2309:I2309 E2312:I2312 E2315:I2315 E2318:I2318 E2321:I2321 E2324:I2324 E2327:I2327 E2330:I2330 F101:I101 F107:I107 F149:I149 F152:I152 F158:I158 F218:I218 F287:I287 F2129:I2129 G104:I104 G383:I383 G386:I386" showDropDown="0" showInputMessage="0" showErrorMessage="1" allowBlank="1" type="list">
      <formula1>"Roll,Roll Boost,Crouch,Ground Pound,Dive,Wall Slide,Climb,Capture,None"</formula1>
    </dataValidation>
    <dataValidation sqref="E101 E107 E218" showDropDown="0" showInputMessage="0" showErrorMessage="1" allowBlank="1" type="list">
      <formula1>"Rainbow Spin,Homing Cap,Roll,Roll Boost,Crouch,Ground Pound,Dive,Wall Jump,Ledge Grab,Damage Boost,Climb,Scooter,Jaxi,Capture,None,2D Jump (any jump)"</formula1>
    </dataValidation>
    <dataValidation sqref="F383 F386" showDropDown="0" showInputMessage="0" showErrorMessage="1" allowBlank="1" type="list">
      <formula1>"Roll,Roll Boost,Crouch,Ground Pound,Dive,Wall Slide,Climb,Capture,Cap Bounce,None"</formula1>
    </dataValidation>
    <dataValidation sqref="C3 C6 C9 C12 C15 C18 C21 C24 C27 C30 C33 C36 C39 C42 C45 C48 C51 C54:C57 C60 C63 C66 C69 C72 C75 C78 C81 C84 C87 C90 C93 C96 C99:C105 C108 C111 C114 C117 C120 C123 C126 C132 C135 C138 C141 C144 C147 C150 C153 C156 C159 C162 C165 C168 C171 C174 C177 C180 C183 C186 C189 C192 C195 C198 C201 C204 C207 C210 C213 C216 C219 C222 C225 C228 C231 C234:C237 C240 C243 C246 C249 C252:C255 C258 C261 C264 C267 C270 C273 C276 C279 C282 C285 C288 C291 C294 C297 C300 C303 C306 C309 C312 C315 C318 C321 C324 C327 C330 C333 C336 C339 C342 C345 C348 C351 C354 C357 C360 C363 C366 C369 C372 C375 C378 C381 C384 C387 C390 C393 C396 C399 C402 C405 C408 C411 C414 C417 C423 C426:C429 C432 C435 C438 C441 C444 C447 C450 C453 C456 C459 C462 C465 C468 C471 C474 C477 C480 C483 C486 C489 C492 C495 C498 C501 C504 C507 C510 C513 C516 C519 C522 C525 C528 C531 C534 C537 C540 C543 C546 C549 C552 C555 C558 C561 C564 C567 C570 C573 C576 C579 C585 C588 C591 C594 C597 C600 C603 C606 C609 C612 C615 C618 C621 C624 C627 C630 C633 C636 C639 C642 C645 C648 C651 C654 C657 C660 C663 C666 C669 C672 C675 C678 C681 C684 C687 C690 C693 C696 C699 C702 C705 C708 C711 C714 C717 C720 C723 C726 C729 C732 C735 C738 C741 C744 C747 C750 C753 C756 C759 C762 C765 C768 C771 C774 C777 C780 C783 C786 C789 C792 C795 C798 C801 C804 C807 C810 C813 C816 C819 C822 C825 C828 C831 C834 C837 C840 C843 C846 C849 C852 C855 C858 C861 C864 C867 C870 C873 C876 C879 C882 C885 C888 C891 C894 C897 C900 C903 C906 C909 C912 C915 C918 C921 C924 C927 C930 C933 C936 C939 C942 C945 C948 C951 C954 C957 C960 C963 C966 C969 C972 C975 C978 C981 C984 C987 C990 C993 C996 C999 C1002 C1005 C1008 C1011 C1014 C1017 C1020 C1023 C1026 C1029 C1032 C1035 C1038 C1041 C1044 C1047 C1050 C1053 C1056 C1059 C1062 C1065 C1068 C1071 C1074 C1077 C1080 C1083 C1086 C1089 C1092 C1095 C1098 C1101 C1104 C1107 C1110 C1113 C1116 C1119 C1122 C1125 C1128 C1131 C1134 C1137 C1140 C1143 C1146 C1149 C1152 C1155 C1158 C1161 C1164 C1167 C1170 C1173 C1176 C1179 C1182 C1185 C1188 C1191 C1194 C1197 C1200 C1203 C1206 C1209 C1212 C1215 C1218 C1221 C1224 C1227 C1230 C1233 C1236 C1239 C1242 C1245 C1248 C1251 C1254 C1257 C1260 C1263 C1266 C1269 C1272 C1275 C1278 C1281 C1284 C1287 C1290 C1293 C1296 C1299 C1302 C1305 C1308 C1311 C1314 C1317 C1320 C1323 C1326 C1329 C1332 C1335 C1338 C1341 C1344 C1347 C1350 C1353 C1356 C1359 C1362 C1365 C1368 C1371 C1374 C1377 C1380 C1383 C1386 C1389 C1392 C1395 C1398 C1401 C1404 C1407 C1410 C1413 C1416 C1419 C1422 C1425 C1428 C1431 C1434 C1437 C1440 C1443 C1446 C1449 C1452 C1455 C1458 C1461 C1464 C1467 C1470 C1473 C1476 C1479 C1482 C1485 C1488 C1491 C1494 C1497 C1500 C1503 C1506 C1509 C1512 C1515 C1518 C1521 C1524 C1527 C1530 C1533 C1536 C1539 C1542 C1545 C1548 C1551 C1554 C1557 C1560 C1563 C1566 C1569 C1572 C1575 C1578 C1581 C1584 C1587 C1590 C1593:C1596 C1599 C1602 C1605 C1608 C1611 C1614 C1617 C1620 C1623 C1626:C1632 C1635:C1638 C1641 C1644 C1647 C1650 C1653 C1656 C1659 C1662 C1665 C1668 C1671 C1674 C1677 C1680:C1683 C1686 C1689:C1692 C1695 C1698 C1701 C1704 C1707 C1710 C1713 C1716 C1719 C1722 C1725 C1728 C1731 C1734 C1737:C1740 C1743 C1746 C1749 C1752:C1755 C1758 C1761 C1764 C1767 C1770 C1773 C1776 C1779 C1782 C1785 C1788 C1791 C1794 C1797 C1800 C1803 C1806 C1809 C1812 C1815 C1818 C1821 C1824 C1827 C1830 C1833 C1836 C1839 C1842 C1845 C1848 C1851 C1854 C1857 C1860 C1863 C1866 C1869 C1872 C1875 C1878 C1881 C1884 C1887 C1890 C1893 C1896 C1899 C1902 C1905 C1908 C1911 C1914 C1917 C1920 C1923 C1926 C1929 C1932 C1935 C1938 C1941 C1944 C1947 C1950 C1953 C1956 C1959 C1962 C1965 C1968 C1971 C1974 C1977 C1980 C1983 C1986 C1989 C1992 C1995 C1998 C2001 C2004 C2007 C2010 C2013 C2016 C2019 C2022 C2025 C2028 C2031 C2034 C2037 C2040 C2043 C2046 C2049 C2052 C2055 C2058 C2061 C2064 C2067 C2070 C2073 C2076 C2079 C2082 C2085 C2088 C2091 C2094 C2097 C2100 C2103 C2106 C2109 C2112 C2115 C2118 C2121 C2124 C2127 C2130 C2133 C2136 C2139 C2142 C2145 C2148 C2151 C2154 C2157 C2160 C2163 C2166 C2169 C2172 C2175 C2178 C2181 C2184 C2187 C2190 C2193 C2196 C2199 C2202 C2205 C2208 C2211 C2214 C2217 C2220 C2223 C2226 C2229 C2232 C2235 C2238 C2241 C2244 C2247 C2250 C2253 C2256 C2259 C2262 C2265 C2268 C2271 C2274 C2277 C2280 C2283 C2286 C2289 C2292 C2295 C2298 C2301 C2304 C2307 C2310 C2313 C2316 C2319 C2322 C2325 C2328" showDropDown="0" showInputMessage="0" showErrorMessage="1" allowBlank="1" type="list">
      <formula1>"Frog,Paragoomba,Glydon,Cheep Cheep,Uproot,Fire Bro,Sherm,Coin Coffer,Wiggler,Shiverian Racer,Gushen,Lava Bubble,Hammer Bro,Pokio,Parabones,Chargin' Chuck,Yoshi,Chain Chomp,T-Rex,Bullet Bill,Goomba,Banzai Bill,Volbonan,Spark pylon,Binoculars,Knucklotec's F"&amp;"ist,Lakitu,Cactus,Zipper,Tree,Puzzle Part (Lake Kingdom),Picture Match Part (Goomba),Manhole,RC Car,Letter,Ty-Foo,Snow Cheep Cheep,Meat,Jizo,Broode's Chain Chomp,Fire Piranha Plant,Bowser Statue,Picture Match Part (Mario),Bowser"</formula1>
    </dataValidation>
    <dataValidation sqref="C582" showDropDown="0" showInputMessage="0" showErrorMessage="1" allowBlank="1" type="list">
      <formula1>"Frog,Paragoomba,Glydon,Cheep-Cheep,Uproot,Fire Bro,Sherm,Coin Coffer,Wiggler,Shiverian Racer,Gushen,Lava Bubble,Hammer Bro,Pokio,Parabones,Chargin' Chuck,Yoshi,Chain Chomp,T-Rex,Bullet Bill,Goomba,Locked behind Default Capture,Banzai Bill,Volbonan,Spark p"&amp;"ylon,Binoculars,Knucklotec's Fist,Lakitu,Cactus,Tree"</formula1>
    </dataValidation>
    <dataValidation sqref="C420" showDropDown="0" showInputMessage="0" showErrorMessage="1" allowBlank="1" type="list">
      <formula1>"Frog,Paragoomba,Glydon,Cheep-Cheep,Uproot,Fire Bro,Tank,Coin Coffer,Wiggler,Shiverian,Gushen,Lava Bubble,Hammer Bro,Pokio,Parabones,Chargin' Chuck,Yoshi,Chain Chomp,Dino,Bullet Bill,Goomba,Spark Pylon,Locked behind Default Capture"</formula1>
    </dataValidation>
    <dataValidation sqref="E4:I4 E7:I7 E10:I10 E13:I13 E16:I16 E19:I19 E22:I22 E25:I25 E28:I28 E31:I31 E34:I34 E37:I37 E40:I40 E43:I43 E46:I46 E49:I49 E52:I52 E55:I55 E58:I58 E61:I61 E64:I64 E67:I67 E70:I70 E73:I73 E76:I76 E79:I79 E82:I82 E85:I85 E88:I88 E91:I91 E94:I94 E97:I97 E100:I100 E103:I103 E106:I106 E109:I109 E112:I112 E115:I115 E118:I118 E121:I121 E124:I124 E127:I127 E130:I130 E133:I133 E136:I136 E139:I139 E142:I142 E145:I145 E148:I148 E151:I151 E154:I154 E157:I157 E160:I160 E163:I163 E166:I166 E169:I169 E172:I172 E175:I175 E178:I178 E181:I181 E184:I184 E187:I187 E190:I190 E193:I193 E196:I196 E199:I199 E202:I202 E205:I205 E208:I208 E211:I211 E214:I214 E217:I217 E220:I220 E223:I223 E226:I226 E229:I229 E232:I232 E235:I235 E238:I238 E241:I241 E244:I244 E247:I247 E250:I250 E253:I253 E256:I256 E259:I259 E262:I262 E265:I265 E268:I268 E271:I271 E274:I274 E277:I277 E280:I280 E283:I283 E286:I286 E289:I289 E292:I292 E295:I295 E298:I298 E301:I301 E304:I304 E307:I307 E310:I310 E313:I313 E316:I316 E319:I319 E322:I322 E325:I325 E328:I328 E331:I331 E334:I334 E337:I337 E340:I340 E343:I343 E346:I346 E349:I349 E352:I352 E355:I355 E358:I358 E361:I361 E364:I364 E367:I367 E370:I370 E373:I373 E376:I376 E379:I379 E382:I382 E385:I385 E388:I388 E391:I391 E394:I394 E397:I397 E400:I400 E403:I403 E406:I406 E409:I409 E412:I412 E415:I415 E418:I418 E421:I421 E424:I424 E427:I427 E430:I430 E433:I433 E436:I436 E439:I439 E442:I442 E445:I445 E448:I448 E451:I451 E454:I454 E457:I457 E460:I460 E463:I463 E466:I466 E469:I469 E472:I472 E475:I475 E478:I478 E481:I481 E484:I484 E487:I487 E490:I490 E493:I493 E496:I496 E499:I499 E502:I502 E505:I505 E508:I508 E511:I511 E514:I514 E517:I517 E520:I520 E523:I523 E526:I526 E529:I529 E532:I532 E535:I535 E538:I538 E541:I541 E544:I544 E547:I547 E550:I550 E553:I553 E556:I556 E559:I559 E562:I562 E565:I565 E568:I568 E571:I571 E574:I574 E577:I577 E580:I580 E583:I583 E586:I586 E589:I589 E592:I592 E595:I595 E598:I598 E601:I601 E604:I604 E607:I607 E610:I610 E613:I613 E616:I616 E619:I619 E622:I622 E625:I625 E628:I628 E631:I631 E634:I634 E637:I637 E640:I640 E643:I643 E646:I646 E649:I649 E652:I652 E655:I655 E658:I658 E661:I661 E664:I664 E667:I667 E670:I670 E673:I673 E676:I676 E679:I679 E682:I682 E685:I685 E688:I688 E691:I691 E694:I694 E697:I697 E700:I700 E703:I703 E706:I706 E709:I709 E712:I712 E715:I715 E718:I718 E721:I721 E724:I724 E727:I727 E730:I730 E733:I733 E736:I736 E739:I739 E742:I742 E745:I745 E748:I748 E751:I751 E754:I754 E757:I757 E760:I760 E763:I763 E766:I766 E769:I769 E772:I772 E775:I775 E778:I778 E781:I781 E784:I784 E787:I787 E790:I790 E793:I793 E796:I796 E799:I799 E802:I802 E805:I805 E808:I808 E811:I811 E814:I814 E817:I817 E820:I820 E823:I823 E826:I826 E829:I829 E832:I832 E835:I835 E838:I838 E841:I841 E844:I844 E847:I847 E850:I850 E853:I853 E856:I856 E859:I859 E862:I862 E865:I865 E868:I868 E871:I871 E874:I874 E877:I877 E880:I880 E883:I883 E886:I886 E889:I889 E892:I892 E895:I895 E898:I898 E901:I901 E904:I904 E907:I907 E910:I910 E913:I913 E916:I916 E919:I919 E922:I922 E925:I925 E928:I928 E931:I931 E934:I934 E937:I937 E940:I940 E943:I943 E946:I946 E949:I949 E952:I952 E955:I955 E958:I958 E961:I961 E964:I964 E967:I967 E970:I970 E973:I973 E976:I976 E979:I979 E982:I982 E985:I985 E988:I988 E991:I991 E994:I994 E997:I997 E1000:I1000 E1003:I1003 E1006:I1006 E1009:I1009 E1012:I1012 E1015:I1015 E1018:I1018 E1021:I1021 E1024:I1024 E1027:I1027 E1030:I1030 E1033:I1033 E1036:I1036 E1039:I1039 E1042:I1042 E1045:I1045 E1048:I1048 E1051:I1051 E1054:I1054 E1057:I1057 E1060:I1060 E1063:I1063 E1066:I1066 E1069:I1069 E1072:I1072 E1075:I1075 E1078:I1078 E1081:I1081 E1084:I1084 E1087:I1087 E1090:I1090 E1093:I1093 E1096:I1096 E1099:I1099 E1102:I1102 E1105:I1105 E1108:I1108 E1111:I1111 E1114:I1114 E1117:I1117 E1120:I1120 E1123:I1123 E1126:I1126 E1129:I1129 E1132:I1132 E1135:I1135 E1138:I1138 E1141:I1141 E1144:I1144 E1147:I1147 E1150:I1150 E1153:I1153 E1156:I1156 E1159:I1159 E1162:I1162 E1165:I1165 E1168:I1168 E1171:I1171 E1174:I1174 E1177:I1177 E1180:I1180 E1183:I1183 E1186:I1186 E1189:I1189 E1192:I1192 E1195:I1195 E1198:I1198 E1201:I1201 E1204:I1204 E1207:I1207 E1210:I1210 E1213:I1213 E1216:I1216 E1219:I1219 E1222:I1222 E1225:I1225 E1228:I1228 E1231:I1231 E1234:I1234 E1237:I1237 E1240:I1240 E1243:I1243 E1246:I1246 E1249:I1249 E1252:I1252 E1255:I1255 E1258:I1258 E1261:I1261 E1264:I1264 E1267:I1267 E1270:I1270 E1273:I1273 E1276:I1276 E1279:I1279 E1282:I1282 E1285:I1285 E1288:I1288 E1291:I1291 E1294:I1294 E1297:I1297 E1300:I1300 E1303:I1303 E1306:I1306 E1309:I1309 E1312:I1312 E1315:I1315 E1318:I1318 E1321:I1321 E1324:I1324 E1327:I1327 E1330:I1330 E1333:I1333 E1336:I1336 E1339:I1339 E1342:I1342 E1345:I1345 E1348:I1348 E1351:I1351 E1354:I1354 E1357:I1357 E1360:I1360 E1363:I1363 E1366:I1366 E1369:I1369 E1372:I1372 E1375:I1375 E1378:I1378 E1381:I1381 E1384:I1384 E1387:I1387 E1390:I1390 E1393:I1393 E1396:I1396 E1399:I1399 E1402:I1402 E1405:I1405 E1408:I1408 E1411:I1411 E1414:I1414 E1417:I1417 E1420:I1420 E1423:I1423 E1426:I1426 E1429:I1429 E1432:I1432 E1435:I1435 E1438:I1438 E1441:I1441 E1444:I1444 E1447:I1447 E1450:I1450 E1453:I1453 E1456:I1456 E1459:I1459 E1462:I1462 E1465:I1465 E1468:I1468 E1471:I1471 E1474:I1474 E1477:I1477 E1480:I1480 E1483:I1483 E1486:I1486 E1489:I1489 E1492:I1492 E1495:I1495 E1498:I1498 E1501:I1501 E1504:I1504 E1507:I1507 E1510:I1510 E1513:I1513 E1516:I1516 E1519:I1519 E1522:I1522 E1525:I1525 E1528:I1528 E1531:I1531 E1534:I1534 E1537:I1537 E1540:I1540 E1543:I1543 E1546:I1546 E1549:I1549 E1552:I1552 E1555:I1555 E1558:I1558 E1561:I1561 E1564:I1564 E1567:I1567 E1570:I1570 E1573:I1573 E1576:I1576 E1579:I1579 E1582:I1582 E1585:I1585 E1588:I1588 E1591:I1591 E1594:I1594 E1597:I1597 E1600:I1600 E1603:I1603 E1606:I1606 E1609:I1609 E1612:I1612 E1615:I1615 E1618:I1618 E1621:I1621 E1624:I1624 E1627:I1627 E1630:I1630 E1633:I1633 E1636:I1636 E1639:I1639 E1642:I1642 E1645:I1645 E1648:I1648 E1651:I1651 E1654:I1654 E1657:I1657 E1660:I1660 E1663:I1663 E1666:I1666 E1669:I1669 E1672:I1672 E1675:I1675 E1678:I1678 E1681:I1681 E1684:I1684 E1687:I1687 E1690:I1690 E1693:I1693 E1696:I1696 E1699:I1699 E1702:I1702 E1705:I1705 E1708:I1708 E1711:I1711 E1714:I1714 E1717:I1717 E1720:I1720 E1723:I1723 E1726:I1726 E1729:I1729 E1732:I1732 E1735:I1735 E1738:I1738 E1741:I1741 E1744:I1744 E1747:I1747 E1750:I1750 E1753:I1753 E1756:I1756 E1759:I1759 E1762:I1762 E1765:I1765 E1768:I1768 E1771:I1771 E1774:I1774 E1777:I1777 E1780:I1780 E1783:I1783 E1786:I1786 E1789:I1789 E1792:I1792 E1795:I1795 E1798:I1798 E1801:I1801 E1804:I1804 E1807:I1807 E1810:I1810 E1813:I1813 E1816:I1816 E1819:I1819 E1822:I1822 E1825:I1825 E1828:I1828 E1831:I1831 E1834:I1834 E1837:I1837 E1840:I1840 E1843:I1843 E1846:I1846 E1849:I1849 E1852:I1852 E1855:I1855 E1858:I1858 E1861:I1861 E1864:I1864 E1867:I1867 E1870:I1870 E1873:I1873 E1876:I1876 E1879:I1879 E1882:I1882 E1885:I1885 E1888:I1888 E1891:I1891 E1894:I1894 E1897:I1897 E1900:I1900 E1903:I1903 E1906:I1906 E1909:I1909 E1912:I1912 E1915:I1915 E1918:I1918 E1921:I1921 E1924:I1924 E1927:I1927 E1930:I1930 E1933:I1933 E1936:I1936 E1939:I1939 E1942:I1942 E1945:I1945 E1948:I1948 E1951:I1951 E1954:I1954 E1957:I1957 E1960:I1960 E1963:I1963 E1966:I1966 E1969:I1969 E1972:I1972 E1975:I1975 E1978:I1978 E1981:I1981 E1984:I1984 E1987:I1987 E1990:I1990 E1993:I1993 E1996:I1996 E1999:I1999 E2002:I2002 E2005:I2005 E2008:I2008 E2011:I2011 E2014:I2014 E2017:I2017 E2020:I2020 E2023:I2023 E2026:I2026 E2029:I2029 E2032:I2032 E2035:I2035 E2038:I2038 E2041:I2041 E2044:I2044 E2047:I2047 E2050:I2050 E2053:I2053 E2056:I2056 E2059:I2059 E2062:I2062 E2065:I2065 E2068:I2068 E2071:I2071 E2074:I2074 E2077:I2077 E2080:I2080 E2083:I2083 E2086:I2086 E2089:I2089 E2092:I2092 E2095:I2095 E2098:I2098 E2101:I2101 E2104:I2104 E2107:I2107 E2110:I2110 E2113:I2113 E2116:I2116 E2119:I2119 E2122:I2122 E2125:I2125 E2128:I2128 E2131:I2131 E2134:I2134 E2137:I2137 E2140:I2140 E2143:I2143 E2146:I2146 E2149:I2149 E2152:I2152 E2155:I2155 E2158:I2158 E2161:I2161 E2164:I2164 E2167:I2167 E2170:I2170 E2173:I2173 E2176:I2176 E2179:I2179 E2182:I2182 E2185:I2185 E2188:I2188 E2191:I2191 E2194:I2194 E2197:I2197 E2200:I2200 E2203:I2203 E2206:I2206 E2209:I2209 E2212:I2212 E2215:I2215 E2218:I2218 E2221:I2221 E2224:I2224 E2227:I2227 E2230:I2230 E2233:I2233 E2236:I2236 E2239:I2239 E2242:I2242 E2245:I2245 E2248:I2248 E2251:I2251 E2254:I2254 E2257:I2257 E2260:I2260 E2263:I2263 E2266:I2266 E2269:I2269 E2272:I2272 E2275:I2275 E2278:I2278 E2281:I2281 E2284:I2284 E2287:I2287 E2290:I2290 E2293:I2293 E2296:I2296 E2299:I2299 E2302:I2302 E2305:I2305 E2308:I2308 E2311:I2311 E2314:I2314 E2317:I2317 E2320:I2320 E2323:I2323 E2326:I2326 E2329:I2329" showDropDown="0" showInputMessage="0" showErrorMessage="1" allowBlank="1" type="list">
      <formula1>"Neutral Throw,Up Throw,Down Throw,Spin Throw,No Cap Throw Needed"</formula1>
    </dataValidation>
    <dataValidation sqref="F104" showDropDown="0" showInputMessage="0" showErrorMessage="1" allowBlank="1" type="list">
      <formula1>"Rainbow Spin,Homing Cap,Roll,Roll Boost,Crouch,Ground Pound,Dive,Wall Jump,Ledge Grab,Damage Boost,Bonk (Roll),Climb,Scooter,Jaxi,Capture,None"</formula1>
    </dataValidation>
    <dataValidation sqref="E287" showDropDown="0" showInputMessage="0" showErrorMessage="1" allowBlank="1" type="list">
      <formula1>"Roll,Roll Boost,Crouch,Ground Pound,Dive,Wall Slide,Climb,Capture,Outfit,Other Kingdom Trigger,None"</formula1>
    </dataValidation>
    <dataValidation sqref="C129" showDropDown="0" showInputMessage="0" showErrorMessage="1" allowBlank="1" type="list">
      <formula1>"Frog,Paragoomba,Glydon,Cheep-Cheep,Uproot,Fire Bro,Tank,Coin Coffer,Wiggler,Shiverian,Gushen,Lava Bubble,Hammer Bro,Pokio,Parabones,Chargin' Chuck,Yoshi,T-Rex"</formula1>
    </dataValidation>
  </dataValidation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B52"/>
  <sheetViews>
    <sheetView workbookViewId="0">
      <selection activeCell="A1" sqref="A1"/>
    </sheetView>
  </sheetViews>
  <sheetFormatPr baseColWidth="8" defaultColWidth="12.63" defaultRowHeight="15.75" customHeight="1"/>
  <sheetData>
    <row r="1">
      <c r="A1" s="36" t="inlineStr">
        <is>
          <t>Frog</t>
        </is>
      </c>
      <c r="B1" s="36" t="n"/>
    </row>
    <row r="2">
      <c r="A2" s="37" t="inlineStr">
        <is>
          <t>Spark Pylon</t>
        </is>
      </c>
      <c r="B2" s="37" t="n"/>
    </row>
    <row r="3">
      <c r="A3" s="36" t="inlineStr">
        <is>
          <t>Paragoomba</t>
        </is>
      </c>
      <c r="B3" s="36" t="n"/>
    </row>
    <row r="4">
      <c r="A4" s="37" t="inlineStr">
        <is>
          <t>Chain Chomp</t>
        </is>
      </c>
      <c r="B4" s="37" t="n"/>
    </row>
    <row r="5">
      <c r="A5" s="36" t="inlineStr">
        <is>
          <t>Big Chain Chomp</t>
        </is>
      </c>
      <c r="B5" s="36" t="n"/>
    </row>
    <row r="6">
      <c r="A6" s="37" t="inlineStr">
        <is>
          <t>Broode's Chain Chomp</t>
        </is>
      </c>
      <c r="B6" s="37" t="n"/>
    </row>
    <row r="7">
      <c r="A7" s="36" t="inlineStr">
        <is>
          <t>T-Rex</t>
        </is>
      </c>
      <c r="B7" s="36" t="n"/>
    </row>
    <row r="8">
      <c r="A8" s="37" t="inlineStr">
        <is>
          <t>Binoculars</t>
        </is>
      </c>
      <c r="B8" s="37" t="n"/>
    </row>
    <row r="9">
      <c r="A9" s="36" t="inlineStr">
        <is>
          <t>Bullet Bill</t>
        </is>
      </c>
      <c r="B9" s="36" t="n"/>
    </row>
    <row r="10">
      <c r="A10" s="37" t="inlineStr">
        <is>
          <t>Moe-Eye</t>
        </is>
      </c>
      <c r="B10" s="37" t="n"/>
    </row>
    <row r="11">
      <c r="A11" s="36" t="inlineStr">
        <is>
          <t>Cactus</t>
        </is>
      </c>
      <c r="B11" s="36" t="n"/>
    </row>
    <row r="12">
      <c r="A12" s="37" t="inlineStr">
        <is>
          <t>Goomba</t>
        </is>
      </c>
      <c r="B12" s="37" t="n"/>
    </row>
    <row r="13">
      <c r="A13" s="36" t="inlineStr">
        <is>
          <t>Knucklotec's Fist</t>
        </is>
      </c>
      <c r="B13" s="36" t="n"/>
    </row>
    <row r="14">
      <c r="A14" s="37" t="inlineStr">
        <is>
          <t>Rocket</t>
        </is>
      </c>
      <c r="B14" s="37" t="n"/>
    </row>
    <row r="15">
      <c r="A15" s="36" t="inlineStr">
        <is>
          <t>Glydon</t>
        </is>
      </c>
      <c r="B15" s="36" t="n"/>
    </row>
    <row r="16">
      <c r="A16" s="37" t="inlineStr">
        <is>
          <t>Lakitu</t>
        </is>
      </c>
      <c r="B16" s="37" t="n"/>
    </row>
    <row r="17">
      <c r="A17" s="36" t="inlineStr">
        <is>
          <t>Zipper</t>
        </is>
      </c>
      <c r="B17" s="36" t="n"/>
    </row>
    <row r="18">
      <c r="A18" s="37" t="inlineStr">
        <is>
          <t>Cheep Cheep</t>
        </is>
      </c>
      <c r="B18" s="37" t="n"/>
    </row>
    <row r="19">
      <c r="A19" s="36" t="inlineStr">
        <is>
          <t>Puzzle Part (Lake Kingdom)</t>
        </is>
      </c>
      <c r="B19" s="36" t="n"/>
    </row>
    <row r="20">
      <c r="A20" s="37" t="inlineStr">
        <is>
          <t>Poison Piranha Plant</t>
        </is>
      </c>
      <c r="B20" s="37" t="n"/>
    </row>
    <row r="21">
      <c r="A21" s="36" t="inlineStr">
        <is>
          <t>Uproot</t>
        </is>
      </c>
      <c r="B21" s="36" t="n"/>
    </row>
    <row r="22">
      <c r="A22" s="37" t="inlineStr">
        <is>
          <t>Fire Bro</t>
        </is>
      </c>
      <c r="B22" s="37" t="n"/>
    </row>
    <row r="23">
      <c r="A23" s="36" t="inlineStr">
        <is>
          <t>Sherm</t>
        </is>
      </c>
      <c r="B23" s="36" t="n"/>
    </row>
    <row r="24">
      <c r="A24" s="37" t="inlineStr">
        <is>
          <t>Coin Coffer</t>
        </is>
      </c>
      <c r="B24" s="37" t="n"/>
    </row>
    <row r="25">
      <c r="A25" s="36" t="inlineStr">
        <is>
          <t>Tree</t>
        </is>
      </c>
      <c r="B25" s="36" t="n"/>
    </row>
    <row r="26">
      <c r="A26" s="37" t="inlineStr">
        <is>
          <t>Boulder</t>
        </is>
      </c>
      <c r="B26" s="37" t="n"/>
    </row>
    <row r="27">
      <c r="A27" s="36" t="inlineStr">
        <is>
          <t>Picture Match Part (Goomba)</t>
        </is>
      </c>
      <c r="B27" s="36" t="n"/>
    </row>
    <row r="28">
      <c r="A28" s="37" t="inlineStr">
        <is>
          <t>Tropical Wiggler</t>
        </is>
      </c>
      <c r="B28" s="37" t="n"/>
    </row>
    <row r="29">
      <c r="A29" s="36" t="inlineStr">
        <is>
          <t>Pole</t>
        </is>
      </c>
      <c r="B29" s="36" t="n"/>
    </row>
    <row r="30">
      <c r="A30" s="37" t="inlineStr">
        <is>
          <t>Manhole</t>
        </is>
      </c>
      <c r="B30" s="37" t="n"/>
    </row>
    <row r="31">
      <c r="A31" s="36" t="inlineStr">
        <is>
          <t>Taxi</t>
        </is>
      </c>
      <c r="B31" s="36" t="n"/>
    </row>
    <row r="32">
      <c r="A32" s="37" t="inlineStr">
        <is>
          <t>RC Car</t>
        </is>
      </c>
      <c r="B32" s="37" t="n"/>
    </row>
    <row r="33">
      <c r="A33" s="36" t="inlineStr">
        <is>
          <t>Ty-Foo</t>
        </is>
      </c>
      <c r="B33" s="36" t="n"/>
    </row>
    <row r="34">
      <c r="A34" s="37" t="inlineStr">
        <is>
          <t>Shiverian Racer</t>
        </is>
      </c>
      <c r="B34" s="37" t="n"/>
    </row>
    <row r="35">
      <c r="A35" s="36" t="inlineStr">
        <is>
          <t>Cheep Cheep (Snow Kingdom)</t>
        </is>
      </c>
      <c r="B35" s="36" t="n"/>
    </row>
    <row r="36">
      <c r="A36" s="37" t="inlineStr">
        <is>
          <t>Gushen</t>
        </is>
      </c>
      <c r="B36" s="37" t="n"/>
    </row>
    <row r="37">
      <c r="A37" s="36" t="inlineStr">
        <is>
          <t>Lava Bubble</t>
        </is>
      </c>
      <c r="B37" s="36" t="n"/>
    </row>
    <row r="38">
      <c r="A38" s="37" t="inlineStr">
        <is>
          <t>Volbonan</t>
        </is>
      </c>
      <c r="B38" s="37" t="n"/>
    </row>
    <row r="39">
      <c r="A39" s="36" t="inlineStr">
        <is>
          <t>Hammer Bro</t>
        </is>
      </c>
      <c r="B39" s="36" t="n"/>
    </row>
    <row r="40">
      <c r="A40" s="37" t="inlineStr">
        <is>
          <t>Meat</t>
        </is>
      </c>
      <c r="B40" s="37" t="n"/>
    </row>
    <row r="41">
      <c r="A41" s="36" t="inlineStr">
        <is>
          <t>Fire Piranha Plant</t>
        </is>
      </c>
      <c r="B41" s="36" t="n"/>
    </row>
    <row r="42">
      <c r="A42" s="37" t="inlineStr">
        <is>
          <t>Pokio</t>
        </is>
      </c>
      <c r="B42" s="37" t="n"/>
    </row>
    <row r="43">
      <c r="A43" s="36" t="inlineStr">
        <is>
          <t>Jizo</t>
        </is>
      </c>
      <c r="B43" s="36" t="n"/>
    </row>
    <row r="44">
      <c r="A44" s="37" t="inlineStr">
        <is>
          <t>Bowser Statue</t>
        </is>
      </c>
      <c r="B44" s="37" t="n"/>
    </row>
    <row r="45">
      <c r="A45" s="36" t="inlineStr">
        <is>
          <t>Parabones</t>
        </is>
      </c>
      <c r="B45" s="36" t="n"/>
    </row>
    <row r="46">
      <c r="A46" s="37" t="inlineStr">
        <is>
          <t>Banzai Bill</t>
        </is>
      </c>
      <c r="B46" s="37" t="n"/>
    </row>
    <row r="47">
      <c r="A47" s="36" t="inlineStr">
        <is>
          <t>Chargin' Chuck</t>
        </is>
      </c>
      <c r="B47" s="36" t="n"/>
    </row>
    <row r="48">
      <c r="A48" s="37" t="inlineStr">
        <is>
          <t>Bowser</t>
        </is>
      </c>
      <c r="B48" s="37" t="n"/>
    </row>
    <row r="49">
      <c r="A49" s="36" t="inlineStr">
        <is>
          <t>Letter</t>
        </is>
      </c>
      <c r="B49" s="36" t="n"/>
    </row>
    <row r="50">
      <c r="A50" s="37" t="inlineStr">
        <is>
          <t>Puzzle Part (Metro Kingdom)</t>
        </is>
      </c>
      <c r="B50" s="37" t="n"/>
    </row>
    <row r="51">
      <c r="A51" s="36" t="inlineStr">
        <is>
          <t>Picture Match Part (Mario)</t>
        </is>
      </c>
      <c r="B51" s="36" t="n"/>
    </row>
    <row r="52">
      <c r="A52" s="37" t="inlineStr">
        <is>
          <t>Yoshi</t>
        </is>
      </c>
      <c r="B52" s="37"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2026-06-21T18:00:40Z</dcterms:created>
  <dcterms:modified xsi:type="dcterms:W3CDTF">2026-06-21T18:00:40Z</dcterms:modified>
</cp:coreProperties>
</file>